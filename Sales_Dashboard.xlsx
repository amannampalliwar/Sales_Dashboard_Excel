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man\Downloads\"/>
    </mc:Choice>
  </mc:AlternateContent>
  <xr:revisionPtr revIDLastSave="0" documentId="8_{20CA773D-D472-4B69-AA3C-BDB640873D21}" xr6:coauthVersionLast="47" xr6:coauthVersionMax="47" xr10:uidLastSave="{00000000-0000-0000-0000-000000000000}"/>
  <bookViews>
    <workbookView xWindow="-108" yWindow="-108" windowWidth="23256" windowHeight="12456" activeTab="2" xr2:uid="{00000000-000D-0000-FFFF-FFFF00000000}"/>
  </bookViews>
  <sheets>
    <sheet name="Sales_Data" sheetId="1" r:id="rId1"/>
    <sheet name="Pivot_Table" sheetId="2" r:id="rId2"/>
    <sheet name="Dashboard" sheetId="5" r:id="rId3"/>
  </sheets>
  <definedNames>
    <definedName name="Slicer_Month">#N/A</definedName>
    <definedName name="Slicer_Payment_Mode">#N/A</definedName>
    <definedName name="Slicer_Region">#N/A</definedName>
    <definedName name="Slicer_Salesperson">#N/A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02" i="1" l="1"/>
  <c r="O3" i="1"/>
  <c r="O2"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M2" i="1" a="1"/>
  <c r="M2" i="1"/>
  <c r="M3" i="1" a="1"/>
  <c r="M3" i="1"/>
  <c r="M4" i="1" a="1"/>
  <c r="M4" i="1"/>
  <c r="M5" i="1" a="1"/>
  <c r="M5" i="1"/>
  <c r="M6" i="1" a="1"/>
  <c r="M6" i="1"/>
  <c r="M7" i="1" a="1"/>
  <c r="M7" i="1"/>
  <c r="M8" i="1" a="1"/>
  <c r="M8" i="1"/>
  <c r="M9" i="1" a="1"/>
  <c r="M9" i="1"/>
  <c r="M10" i="1" a="1"/>
  <c r="M10" i="1"/>
  <c r="M11" i="1" a="1"/>
  <c r="M11" i="1"/>
  <c r="M12" i="1" a="1"/>
  <c r="M12" i="1"/>
  <c r="M13" i="1" a="1"/>
  <c r="M13" i="1"/>
  <c r="M14" i="1" a="1"/>
  <c r="M14" i="1"/>
  <c r="M15" i="1" a="1"/>
  <c r="M15" i="1"/>
  <c r="M16" i="1" a="1"/>
  <c r="M16" i="1"/>
  <c r="M17" i="1" a="1"/>
  <c r="M17" i="1"/>
  <c r="M18" i="1" a="1"/>
  <c r="M18" i="1"/>
  <c r="M19" i="1" a="1"/>
  <c r="M19" i="1"/>
  <c r="M20" i="1" a="1"/>
  <c r="M20" i="1"/>
  <c r="M21" i="1" a="1"/>
  <c r="M21" i="1"/>
  <c r="M22" i="1" a="1"/>
  <c r="M22" i="1"/>
  <c r="M23" i="1" a="1"/>
  <c r="M23" i="1"/>
  <c r="M24" i="1" a="1"/>
  <c r="M24" i="1"/>
  <c r="M25" i="1" a="1"/>
  <c r="M25" i="1"/>
  <c r="M26" i="1" a="1"/>
  <c r="M26" i="1"/>
  <c r="M27" i="1" a="1"/>
  <c r="M27" i="1"/>
  <c r="M28" i="1" a="1"/>
  <c r="M28" i="1"/>
  <c r="M29" i="1" a="1"/>
  <c r="M29" i="1"/>
  <c r="M30" i="1" a="1"/>
  <c r="M30" i="1"/>
  <c r="M31" i="1" a="1"/>
  <c r="M31" i="1"/>
  <c r="M32" i="1" a="1"/>
  <c r="M32" i="1"/>
  <c r="M33" i="1" a="1"/>
  <c r="M33" i="1"/>
  <c r="M34" i="1" a="1"/>
  <c r="M34" i="1"/>
  <c r="M35" i="1" a="1"/>
  <c r="M35" i="1"/>
  <c r="M36" i="1" a="1"/>
  <c r="M36" i="1"/>
  <c r="M37" i="1" a="1"/>
  <c r="M37" i="1"/>
  <c r="M38" i="1" a="1"/>
  <c r="M38" i="1"/>
  <c r="M39" i="1" a="1"/>
  <c r="M39" i="1"/>
  <c r="M40" i="1" a="1"/>
  <c r="M40" i="1"/>
  <c r="M41" i="1" a="1"/>
  <c r="M41" i="1"/>
  <c r="M42" i="1" a="1"/>
  <c r="M42" i="1"/>
  <c r="M43" i="1" a="1"/>
  <c r="M43" i="1"/>
  <c r="M44" i="1" a="1"/>
  <c r="M44" i="1"/>
  <c r="M45" i="1" a="1"/>
  <c r="M45" i="1"/>
  <c r="M46" i="1" a="1"/>
  <c r="M46" i="1"/>
  <c r="M47" i="1" a="1"/>
  <c r="M47" i="1"/>
  <c r="M48" i="1" a="1"/>
  <c r="M48" i="1"/>
  <c r="M49" i="1" a="1"/>
  <c r="M49" i="1"/>
  <c r="M50" i="1" a="1"/>
  <c r="M50" i="1"/>
  <c r="M51" i="1" a="1"/>
  <c r="M51" i="1"/>
  <c r="M52" i="1" a="1"/>
  <c r="M52" i="1"/>
  <c r="M53" i="1" a="1"/>
  <c r="M53" i="1"/>
  <c r="M54" i="1" a="1"/>
  <c r="M54" i="1"/>
  <c r="M55" i="1" a="1"/>
  <c r="M55" i="1"/>
  <c r="M56" i="1" a="1"/>
  <c r="M56" i="1"/>
  <c r="M57" i="1" a="1"/>
  <c r="M57" i="1"/>
  <c r="M58" i="1" a="1"/>
  <c r="M58" i="1"/>
  <c r="M59" i="1" a="1"/>
  <c r="M59" i="1"/>
  <c r="M60" i="1" a="1"/>
  <c r="M60" i="1"/>
  <c r="M61" i="1" a="1"/>
  <c r="M61" i="1"/>
  <c r="M62" i="1" a="1"/>
  <c r="M62" i="1"/>
  <c r="M63" i="1" a="1"/>
  <c r="M63" i="1"/>
  <c r="M64" i="1" a="1"/>
  <c r="M64" i="1"/>
  <c r="M65" i="1" a="1"/>
  <c r="M65" i="1"/>
  <c r="M66" i="1" a="1"/>
  <c r="M66" i="1"/>
  <c r="M67" i="1" a="1"/>
  <c r="M67" i="1"/>
  <c r="M68" i="1" a="1"/>
  <c r="M68" i="1"/>
  <c r="M69" i="1" a="1"/>
  <c r="M69" i="1"/>
  <c r="M70" i="1" a="1"/>
  <c r="M70" i="1"/>
  <c r="M71" i="1" a="1"/>
  <c r="M71" i="1"/>
  <c r="M72" i="1" a="1"/>
  <c r="M72" i="1"/>
  <c r="M73" i="1" a="1"/>
  <c r="M73" i="1"/>
  <c r="M74" i="1" a="1"/>
  <c r="M74" i="1"/>
  <c r="M75" i="1" a="1"/>
  <c r="M75" i="1"/>
  <c r="M76" i="1" a="1"/>
  <c r="M76" i="1"/>
  <c r="M77" i="1" a="1"/>
  <c r="M77" i="1"/>
  <c r="M78" i="1" a="1"/>
  <c r="M78" i="1"/>
  <c r="M79" i="1" a="1"/>
  <c r="M79" i="1"/>
  <c r="M80" i="1" a="1"/>
  <c r="M80" i="1"/>
  <c r="M81" i="1" a="1"/>
  <c r="M81" i="1"/>
  <c r="M82" i="1" a="1"/>
  <c r="M82" i="1"/>
  <c r="M83" i="1" a="1"/>
  <c r="M83" i="1"/>
  <c r="M84" i="1" a="1"/>
  <c r="M84" i="1"/>
  <c r="M85" i="1" a="1"/>
  <c r="M85" i="1"/>
  <c r="M86" i="1" a="1"/>
  <c r="M86" i="1"/>
  <c r="M87" i="1" a="1"/>
  <c r="M87" i="1"/>
  <c r="M88" i="1" a="1"/>
  <c r="M88" i="1"/>
  <c r="M89" i="1" a="1"/>
  <c r="M89" i="1"/>
  <c r="M90" i="1" a="1"/>
  <c r="M90" i="1"/>
  <c r="M91" i="1" a="1"/>
  <c r="M91" i="1"/>
  <c r="M92" i="1" a="1"/>
  <c r="M92" i="1"/>
  <c r="M93" i="1" a="1"/>
  <c r="M93" i="1"/>
  <c r="M94" i="1" a="1"/>
  <c r="M94" i="1"/>
  <c r="M95" i="1" a="1"/>
  <c r="M95" i="1"/>
  <c r="M96" i="1" a="1"/>
  <c r="M96" i="1"/>
  <c r="M97" i="1" a="1"/>
  <c r="M97" i="1"/>
  <c r="M98" i="1" a="1"/>
  <c r="M98" i="1"/>
  <c r="M99" i="1" a="1"/>
  <c r="M99" i="1"/>
  <c r="M100" i="1" a="1"/>
  <c r="M100" i="1"/>
  <c r="M101" i="1" a="1"/>
  <c r="M101" i="1"/>
  <c r="M102" i="1" a="1"/>
  <c r="M102" i="1"/>
  <c r="M103" i="1" a="1"/>
  <c r="M103" i="1"/>
  <c r="M104" i="1" a="1"/>
  <c r="M104" i="1"/>
  <c r="M105" i="1" a="1"/>
  <c r="M105" i="1"/>
  <c r="M106" i="1" a="1"/>
  <c r="M106" i="1"/>
  <c r="M107" i="1" a="1"/>
  <c r="M107" i="1"/>
  <c r="M108" i="1" a="1"/>
  <c r="M108" i="1"/>
  <c r="M109" i="1" a="1"/>
  <c r="M109" i="1"/>
  <c r="M110" i="1" a="1"/>
  <c r="M110" i="1"/>
  <c r="M111" i="1" a="1"/>
  <c r="M111" i="1"/>
  <c r="M112" i="1" a="1"/>
  <c r="M112" i="1"/>
  <c r="M113" i="1" a="1"/>
  <c r="M113" i="1"/>
  <c r="M114" i="1" a="1"/>
  <c r="M114" i="1"/>
  <c r="M115" i="1" a="1"/>
  <c r="M115" i="1"/>
  <c r="M116" i="1" a="1"/>
  <c r="M116" i="1"/>
  <c r="M117" i="1" a="1"/>
  <c r="M117" i="1"/>
  <c r="M118" i="1" a="1"/>
  <c r="M118" i="1"/>
  <c r="M119" i="1" a="1"/>
  <c r="M119" i="1"/>
  <c r="M120" i="1" a="1"/>
  <c r="M120" i="1"/>
  <c r="M121" i="1" a="1"/>
  <c r="M121" i="1"/>
  <c r="M122" i="1" a="1"/>
  <c r="M122" i="1"/>
  <c r="M123" i="1" a="1"/>
  <c r="M123" i="1"/>
  <c r="M124" i="1" a="1"/>
  <c r="M124" i="1"/>
  <c r="M125" i="1" a="1"/>
  <c r="M125" i="1"/>
  <c r="M126" i="1" a="1"/>
  <c r="M126" i="1"/>
  <c r="M127" i="1" a="1"/>
  <c r="M127" i="1"/>
  <c r="M128" i="1" a="1"/>
  <c r="M128" i="1"/>
  <c r="M129" i="1" a="1"/>
  <c r="M129" i="1"/>
  <c r="M130" i="1" a="1"/>
  <c r="M130" i="1"/>
  <c r="M131" i="1" a="1"/>
  <c r="M131" i="1"/>
  <c r="M132" i="1" a="1"/>
  <c r="M132" i="1"/>
  <c r="M133" i="1" a="1"/>
  <c r="M133" i="1"/>
  <c r="M134" i="1" a="1"/>
  <c r="M134" i="1"/>
  <c r="M135" i="1" a="1"/>
  <c r="M135" i="1"/>
  <c r="M136" i="1" a="1"/>
  <c r="M136" i="1"/>
  <c r="M137" i="1" a="1"/>
  <c r="M137" i="1"/>
  <c r="M138" i="1" a="1"/>
  <c r="M138" i="1"/>
  <c r="M139" i="1" a="1"/>
  <c r="M139" i="1"/>
  <c r="M140" i="1" a="1"/>
  <c r="M140" i="1"/>
  <c r="M141" i="1" a="1"/>
  <c r="M141" i="1"/>
  <c r="M142" i="1" a="1"/>
  <c r="M142" i="1"/>
  <c r="M143" i="1" a="1"/>
  <c r="M143" i="1"/>
  <c r="M144" i="1" a="1"/>
  <c r="M144" i="1"/>
  <c r="M145" i="1" a="1"/>
  <c r="M145" i="1"/>
  <c r="M146" i="1" a="1"/>
  <c r="M146" i="1"/>
  <c r="M147" i="1" a="1"/>
  <c r="M147" i="1"/>
  <c r="M148" i="1" a="1"/>
  <c r="M148" i="1"/>
  <c r="M149" i="1" a="1"/>
  <c r="M149" i="1"/>
  <c r="M150" i="1" a="1"/>
  <c r="M150" i="1"/>
  <c r="M151" i="1" a="1"/>
  <c r="M151" i="1"/>
  <c r="M152" i="1" a="1"/>
  <c r="M152" i="1"/>
  <c r="M153" i="1" a="1"/>
  <c r="M153" i="1"/>
  <c r="M154" i="1" a="1"/>
  <c r="M154" i="1"/>
  <c r="M155" i="1" a="1"/>
  <c r="M155" i="1"/>
  <c r="M156" i="1" a="1"/>
  <c r="M156" i="1"/>
  <c r="M157" i="1" a="1"/>
  <c r="M157" i="1"/>
  <c r="M158" i="1" a="1"/>
  <c r="M158" i="1"/>
  <c r="M159" i="1" a="1"/>
  <c r="M159" i="1"/>
  <c r="M160" i="1" a="1"/>
  <c r="M160" i="1"/>
  <c r="M161" i="1" a="1"/>
  <c r="M161" i="1"/>
  <c r="M162" i="1" a="1"/>
  <c r="M162" i="1"/>
  <c r="M163" i="1" a="1"/>
  <c r="M163" i="1"/>
  <c r="M164" i="1" a="1"/>
  <c r="M164" i="1"/>
  <c r="M165" i="1" a="1"/>
  <c r="M165" i="1"/>
  <c r="M166" i="1" a="1"/>
  <c r="M166" i="1"/>
  <c r="M167" i="1" a="1"/>
  <c r="M167" i="1"/>
  <c r="M168" i="1" a="1"/>
  <c r="M168" i="1"/>
  <c r="M169" i="1" a="1"/>
  <c r="M169" i="1"/>
  <c r="M170" i="1" a="1"/>
  <c r="M170" i="1"/>
  <c r="M171" i="1" a="1"/>
  <c r="M171" i="1"/>
  <c r="M172" i="1" a="1"/>
  <c r="M172" i="1"/>
  <c r="M173" i="1" a="1"/>
  <c r="M173" i="1"/>
  <c r="M174" i="1" a="1"/>
  <c r="M174" i="1"/>
  <c r="M175" i="1" a="1"/>
  <c r="M175" i="1"/>
  <c r="M176" i="1" a="1"/>
  <c r="M176" i="1"/>
  <c r="M177" i="1" a="1"/>
  <c r="M177" i="1"/>
  <c r="M178" i="1" a="1"/>
  <c r="M178" i="1"/>
  <c r="M179" i="1" a="1"/>
  <c r="M179" i="1"/>
  <c r="M180" i="1" a="1"/>
  <c r="M180" i="1"/>
  <c r="M181" i="1" a="1"/>
  <c r="M181" i="1"/>
  <c r="M182" i="1" a="1"/>
  <c r="M182" i="1"/>
  <c r="M183" i="1" a="1"/>
  <c r="M183" i="1"/>
  <c r="M184" i="1" a="1"/>
  <c r="M184" i="1"/>
  <c r="M185" i="1" a="1"/>
  <c r="M185" i="1"/>
  <c r="M186" i="1" a="1"/>
  <c r="M186" i="1"/>
  <c r="M187" i="1" a="1"/>
  <c r="M187" i="1"/>
  <c r="M188" i="1" a="1"/>
  <c r="M188" i="1"/>
  <c r="M189" i="1" a="1"/>
  <c r="M189" i="1"/>
  <c r="M190" i="1" a="1"/>
  <c r="M190" i="1"/>
  <c r="M191" i="1" a="1"/>
  <c r="M191" i="1"/>
  <c r="M192" i="1" a="1"/>
  <c r="M192" i="1"/>
  <c r="M193" i="1" a="1"/>
  <c r="M193" i="1"/>
  <c r="M194" i="1" a="1"/>
  <c r="M194" i="1"/>
  <c r="M195" i="1" a="1"/>
  <c r="M195" i="1"/>
  <c r="M196" i="1" a="1"/>
  <c r="M196" i="1"/>
  <c r="M197" i="1" a="1"/>
  <c r="M197" i="1"/>
  <c r="M198" i="1" a="1"/>
  <c r="M198" i="1"/>
  <c r="M199" i="1" a="1"/>
  <c r="M199" i="1"/>
  <c r="M200" i="1" a="1"/>
  <c r="M200" i="1"/>
  <c r="M201" i="1" a="1"/>
  <c r="M201" i="1"/>
  <c r="M202" i="1" a="1"/>
  <c r="M202" i="1"/>
  <c r="M203" i="1" a="1"/>
  <c r="M203" i="1"/>
  <c r="M204" i="1" a="1"/>
  <c r="M204" i="1"/>
  <c r="M205" i="1" a="1"/>
  <c r="M205" i="1"/>
  <c r="M206" i="1" a="1"/>
  <c r="M206" i="1"/>
  <c r="M207" i="1" a="1"/>
  <c r="M207" i="1"/>
  <c r="M208" i="1" a="1"/>
  <c r="M208" i="1"/>
  <c r="M209" i="1" a="1"/>
  <c r="M209" i="1"/>
  <c r="M210" i="1" a="1"/>
  <c r="M210" i="1"/>
  <c r="M211" i="1" a="1"/>
  <c r="M211" i="1"/>
  <c r="M212" i="1" a="1"/>
  <c r="M212" i="1"/>
  <c r="M213" i="1" a="1"/>
  <c r="M213" i="1"/>
  <c r="M214" i="1" a="1"/>
  <c r="M214" i="1"/>
  <c r="M215" i="1" a="1"/>
  <c r="M215" i="1"/>
  <c r="M216" i="1" a="1"/>
  <c r="M216" i="1"/>
  <c r="M217" i="1" a="1"/>
  <c r="M217" i="1"/>
  <c r="M218" i="1" a="1"/>
  <c r="M218" i="1"/>
  <c r="M219" i="1" a="1"/>
  <c r="M219" i="1"/>
  <c r="M220" i="1" a="1"/>
  <c r="M220" i="1"/>
  <c r="M221" i="1" a="1"/>
  <c r="M221" i="1"/>
  <c r="M222" i="1" a="1"/>
  <c r="M222" i="1"/>
  <c r="M223" i="1" a="1"/>
  <c r="M223" i="1"/>
  <c r="M224" i="1" a="1"/>
  <c r="M224" i="1"/>
  <c r="M225" i="1" a="1"/>
  <c r="M225" i="1"/>
  <c r="M226" i="1" a="1"/>
  <c r="M226" i="1"/>
  <c r="M227" i="1" a="1"/>
  <c r="M227" i="1"/>
  <c r="M228" i="1" a="1"/>
  <c r="M228" i="1"/>
  <c r="M229" i="1" a="1"/>
  <c r="M229" i="1"/>
  <c r="M230" i="1" a="1"/>
  <c r="M230" i="1"/>
  <c r="M231" i="1" a="1"/>
  <c r="M231" i="1"/>
  <c r="M232" i="1" a="1"/>
  <c r="M232" i="1"/>
  <c r="M233" i="1" a="1"/>
  <c r="M233" i="1"/>
  <c r="M234" i="1" a="1"/>
  <c r="M234" i="1"/>
  <c r="M235" i="1" a="1"/>
  <c r="M235" i="1"/>
  <c r="M236" i="1" a="1"/>
  <c r="M236" i="1"/>
  <c r="M237" i="1" a="1"/>
  <c r="M237" i="1"/>
  <c r="M238" i="1" a="1"/>
  <c r="M238" i="1"/>
  <c r="M239" i="1" a="1"/>
  <c r="M239" i="1"/>
  <c r="M240" i="1" a="1"/>
  <c r="M240" i="1"/>
  <c r="M241" i="1" a="1"/>
  <c r="M241" i="1"/>
  <c r="M242" i="1" a="1"/>
  <c r="M242" i="1"/>
  <c r="M243" i="1" a="1"/>
  <c r="M243" i="1"/>
  <c r="M244" i="1" a="1"/>
  <c r="M244" i="1"/>
  <c r="M245" i="1" a="1"/>
  <c r="M245" i="1"/>
  <c r="M246" i="1" a="1"/>
  <c r="M246" i="1"/>
  <c r="M247" i="1" a="1"/>
  <c r="M247" i="1"/>
  <c r="M248" i="1" a="1"/>
  <c r="M248" i="1"/>
  <c r="M249" i="1" a="1"/>
  <c r="M249" i="1"/>
  <c r="M250" i="1" a="1"/>
  <c r="M250" i="1"/>
  <c r="M251" i="1" a="1"/>
  <c r="M251" i="1"/>
  <c r="M252" i="1" a="1"/>
  <c r="M252" i="1"/>
  <c r="M253" i="1" a="1"/>
  <c r="M253" i="1"/>
  <c r="M254" i="1" a="1"/>
  <c r="M254" i="1"/>
  <c r="M255" i="1" a="1"/>
  <c r="M255" i="1"/>
  <c r="M256" i="1" a="1"/>
  <c r="M256" i="1"/>
  <c r="M257" i="1" a="1"/>
  <c r="M257" i="1"/>
  <c r="M258" i="1" a="1"/>
  <c r="M258" i="1"/>
  <c r="M259" i="1" a="1"/>
  <c r="M259" i="1"/>
  <c r="M260" i="1" a="1"/>
  <c r="M260" i="1"/>
  <c r="M261" i="1" a="1"/>
  <c r="M261" i="1"/>
  <c r="M262" i="1" a="1"/>
  <c r="M262" i="1"/>
  <c r="M263" i="1" a="1"/>
  <c r="M263" i="1"/>
  <c r="M264" i="1" a="1"/>
  <c r="M264" i="1"/>
  <c r="M265" i="1" a="1"/>
  <c r="M265" i="1"/>
  <c r="M266" i="1" a="1"/>
  <c r="M266" i="1"/>
  <c r="M267" i="1" a="1"/>
  <c r="M267" i="1"/>
  <c r="M268" i="1" a="1"/>
  <c r="M268" i="1"/>
  <c r="M269" i="1" a="1"/>
  <c r="M269" i="1"/>
  <c r="M270" i="1" a="1"/>
  <c r="M270" i="1"/>
  <c r="M271" i="1" a="1"/>
  <c r="M271" i="1"/>
  <c r="M272" i="1" a="1"/>
  <c r="M272" i="1"/>
  <c r="M273" i="1" a="1"/>
  <c r="M273" i="1"/>
  <c r="M274" i="1" a="1"/>
  <c r="M274" i="1"/>
  <c r="M275" i="1" a="1"/>
  <c r="M275" i="1"/>
  <c r="M276" i="1" a="1"/>
  <c r="M276" i="1"/>
  <c r="M277" i="1" a="1"/>
  <c r="M277" i="1"/>
  <c r="M278" i="1" a="1"/>
  <c r="M278" i="1"/>
  <c r="M279" i="1" a="1"/>
  <c r="M279" i="1"/>
  <c r="M280" i="1" a="1"/>
  <c r="M280" i="1"/>
  <c r="M281" i="1" a="1"/>
  <c r="M281" i="1"/>
  <c r="M282" i="1" a="1"/>
  <c r="M282" i="1"/>
  <c r="M283" i="1" a="1"/>
  <c r="M283" i="1"/>
  <c r="M284" i="1" a="1"/>
  <c r="M284" i="1"/>
  <c r="M285" i="1" a="1"/>
  <c r="M285" i="1"/>
  <c r="M286" i="1" a="1"/>
  <c r="M286" i="1"/>
  <c r="M287" i="1" a="1"/>
  <c r="M287" i="1"/>
  <c r="M288" i="1" a="1"/>
  <c r="M288" i="1"/>
  <c r="M289" i="1" a="1"/>
  <c r="M289" i="1"/>
  <c r="M290" i="1" a="1"/>
  <c r="M290" i="1"/>
  <c r="M291" i="1" a="1"/>
  <c r="M291" i="1"/>
  <c r="M292" i="1" a="1"/>
  <c r="M292" i="1"/>
  <c r="M293" i="1" a="1"/>
  <c r="M293" i="1"/>
  <c r="M294" i="1" a="1"/>
  <c r="M294" i="1"/>
  <c r="M295" i="1" a="1"/>
  <c r="M295" i="1"/>
  <c r="M296" i="1" a="1"/>
  <c r="M296" i="1"/>
  <c r="M297" i="1" a="1"/>
  <c r="M297" i="1"/>
  <c r="M298" i="1" a="1"/>
  <c r="M298" i="1"/>
  <c r="M299" i="1" a="1"/>
  <c r="M299" i="1"/>
  <c r="M300" i="1" a="1"/>
  <c r="M300" i="1"/>
  <c r="M301" i="1" a="1"/>
  <c r="M301" i="1"/>
  <c r="M302" i="1" a="1"/>
  <c r="M302" i="1"/>
  <c r="M303" i="1" a="1"/>
  <c r="M303" i="1"/>
  <c r="M304" i="1" a="1"/>
  <c r="M304" i="1"/>
  <c r="M305" i="1" a="1"/>
  <c r="M305" i="1"/>
  <c r="M306" i="1" a="1"/>
  <c r="M306" i="1"/>
  <c r="M307" i="1" a="1"/>
  <c r="M307" i="1"/>
  <c r="M308" i="1" a="1"/>
  <c r="M308" i="1"/>
  <c r="M309" i="1" a="1"/>
  <c r="M309" i="1"/>
  <c r="M310" i="1" a="1"/>
  <c r="M310" i="1"/>
  <c r="M311" i="1" a="1"/>
  <c r="M311" i="1"/>
  <c r="M312" i="1" a="1"/>
  <c r="M312" i="1"/>
  <c r="M313" i="1" a="1"/>
  <c r="M313" i="1"/>
  <c r="M314" i="1" a="1"/>
  <c r="M314" i="1"/>
  <c r="M315" i="1" a="1"/>
  <c r="M315" i="1"/>
  <c r="M316" i="1" a="1"/>
  <c r="M316" i="1"/>
  <c r="M317" i="1" a="1"/>
  <c r="M317" i="1"/>
  <c r="M318" i="1" a="1"/>
  <c r="M318" i="1"/>
  <c r="M319" i="1" a="1"/>
  <c r="M319" i="1"/>
  <c r="M320" i="1" a="1"/>
  <c r="M320" i="1"/>
  <c r="M321" i="1" a="1"/>
  <c r="M321" i="1"/>
  <c r="M322" i="1" a="1"/>
  <c r="M322" i="1"/>
  <c r="M323" i="1" a="1"/>
  <c r="M323" i="1"/>
  <c r="M324" i="1" a="1"/>
  <c r="M324" i="1"/>
  <c r="M325" i="1" a="1"/>
  <c r="M325" i="1"/>
  <c r="M326" i="1" a="1"/>
  <c r="M326" i="1"/>
  <c r="M327" i="1" a="1"/>
  <c r="M327" i="1"/>
  <c r="M328" i="1" a="1"/>
  <c r="M328" i="1"/>
  <c r="M329" i="1" a="1"/>
  <c r="M329" i="1"/>
  <c r="M330" i="1" a="1"/>
  <c r="M330" i="1"/>
  <c r="M331" i="1" a="1"/>
  <c r="M331" i="1"/>
  <c r="M332" i="1" a="1"/>
  <c r="M332" i="1"/>
  <c r="M333" i="1" a="1"/>
  <c r="M333" i="1"/>
  <c r="M334" i="1" a="1"/>
  <c r="M334" i="1"/>
  <c r="M335" i="1" a="1"/>
  <c r="M335" i="1"/>
  <c r="M336" i="1" a="1"/>
  <c r="M336" i="1"/>
  <c r="M337" i="1" a="1"/>
  <c r="M337" i="1"/>
  <c r="M338" i="1" a="1"/>
  <c r="M338" i="1"/>
  <c r="M339" i="1" a="1"/>
  <c r="M339" i="1"/>
  <c r="M340" i="1" a="1"/>
  <c r="M340" i="1"/>
  <c r="M341" i="1" a="1"/>
  <c r="M341" i="1"/>
  <c r="M342" i="1" a="1"/>
  <c r="M342" i="1"/>
  <c r="M343" i="1" a="1"/>
  <c r="M343" i="1"/>
  <c r="M344" i="1" a="1"/>
  <c r="M344" i="1"/>
  <c r="M345" i="1" a="1"/>
  <c r="M345" i="1"/>
  <c r="M346" i="1" a="1"/>
  <c r="M346" i="1"/>
  <c r="M347" i="1" a="1"/>
  <c r="M347" i="1"/>
  <c r="M348" i="1" a="1"/>
  <c r="M348" i="1"/>
  <c r="M349" i="1" a="1"/>
  <c r="M349" i="1"/>
  <c r="M350" i="1" a="1"/>
  <c r="M350" i="1"/>
  <c r="M351" i="1" a="1"/>
  <c r="M351" i="1"/>
  <c r="M352" i="1" a="1"/>
  <c r="M352" i="1"/>
  <c r="M353" i="1" a="1"/>
  <c r="M353" i="1"/>
  <c r="M354" i="1" a="1"/>
  <c r="M354" i="1"/>
  <c r="M355" i="1" a="1"/>
  <c r="M355" i="1"/>
  <c r="M356" i="1" a="1"/>
  <c r="M356" i="1"/>
  <c r="M357" i="1" a="1"/>
  <c r="M357" i="1"/>
  <c r="M358" i="1" a="1"/>
  <c r="M358" i="1"/>
  <c r="M359" i="1" a="1"/>
  <c r="M359" i="1"/>
  <c r="M360" i="1" a="1"/>
  <c r="M360" i="1"/>
  <c r="M361" i="1" a="1"/>
  <c r="M361" i="1"/>
  <c r="M362" i="1" a="1"/>
  <c r="M362" i="1"/>
  <c r="M363" i="1" a="1"/>
  <c r="M363" i="1"/>
  <c r="M364" i="1" a="1"/>
  <c r="M364" i="1"/>
  <c r="M365" i="1" a="1"/>
  <c r="M365" i="1"/>
  <c r="M366" i="1" a="1"/>
  <c r="M366" i="1"/>
  <c r="M367" i="1" a="1"/>
  <c r="M367" i="1"/>
  <c r="M368" i="1" a="1"/>
  <c r="M368" i="1"/>
  <c r="M369" i="1" a="1"/>
  <c r="M369" i="1"/>
  <c r="M370" i="1" a="1"/>
  <c r="M370" i="1"/>
  <c r="M371" i="1" a="1"/>
  <c r="M371" i="1"/>
  <c r="M372" i="1" a="1"/>
  <c r="M372" i="1"/>
  <c r="M373" i="1" a="1"/>
  <c r="M373" i="1"/>
  <c r="M374" i="1" a="1"/>
  <c r="M374" i="1"/>
  <c r="M375" i="1" a="1"/>
  <c r="M375" i="1"/>
  <c r="M376" i="1" a="1"/>
  <c r="M376" i="1"/>
  <c r="M377" i="1" a="1"/>
  <c r="M377" i="1"/>
  <c r="M378" i="1" a="1"/>
  <c r="M378" i="1"/>
  <c r="M379" i="1" a="1"/>
  <c r="M379" i="1"/>
  <c r="M380" i="1" a="1"/>
  <c r="M380" i="1"/>
  <c r="M381" i="1" a="1"/>
  <c r="M381" i="1"/>
  <c r="M382" i="1" a="1"/>
  <c r="M382" i="1"/>
  <c r="M383" i="1" a="1"/>
  <c r="M383" i="1"/>
  <c r="M384" i="1" a="1"/>
  <c r="M384" i="1"/>
  <c r="M385" i="1" a="1"/>
  <c r="M385" i="1"/>
  <c r="M386" i="1" a="1"/>
  <c r="M386" i="1"/>
  <c r="M387" i="1" a="1"/>
  <c r="M387" i="1"/>
  <c r="M388" i="1" a="1"/>
  <c r="M388" i="1"/>
  <c r="M389" i="1" a="1"/>
  <c r="M389" i="1"/>
  <c r="M390" i="1" a="1"/>
  <c r="M390" i="1"/>
  <c r="M391" i="1" a="1"/>
  <c r="M391" i="1"/>
  <c r="M392" i="1" a="1"/>
  <c r="M392" i="1"/>
  <c r="M393" i="1" a="1"/>
  <c r="M393" i="1"/>
  <c r="M394" i="1" a="1"/>
  <c r="M394" i="1"/>
  <c r="M395" i="1" a="1"/>
  <c r="M395" i="1"/>
  <c r="M396" i="1" a="1"/>
  <c r="M396" i="1"/>
  <c r="M397" i="1" a="1"/>
  <c r="M397" i="1"/>
  <c r="M398" i="1" a="1"/>
  <c r="M398" i="1"/>
  <c r="M399" i="1" a="1"/>
  <c r="M399" i="1"/>
  <c r="M400" i="1" a="1"/>
  <c r="M400" i="1"/>
  <c r="M401" i="1" a="1"/>
  <c r="M401" i="1"/>
  <c r="M402" i="1" a="1"/>
  <c r="M402" i="1"/>
  <c r="M403" i="1" a="1"/>
  <c r="M403" i="1"/>
  <c r="M404" i="1" a="1"/>
  <c r="M404" i="1"/>
  <c r="M405" i="1" a="1"/>
  <c r="M405" i="1"/>
  <c r="M406" i="1" a="1"/>
  <c r="M406" i="1"/>
  <c r="M407" i="1" a="1"/>
  <c r="M407" i="1"/>
  <c r="M408" i="1" a="1"/>
  <c r="M408" i="1"/>
  <c r="M409" i="1" a="1"/>
  <c r="M409" i="1"/>
  <c r="M410" i="1" a="1"/>
  <c r="M410" i="1"/>
  <c r="M411" i="1" a="1"/>
  <c r="M411" i="1"/>
  <c r="M412" i="1" a="1"/>
  <c r="M412" i="1"/>
  <c r="M413" i="1" a="1"/>
  <c r="M413" i="1"/>
  <c r="M414" i="1" a="1"/>
  <c r="M414" i="1"/>
  <c r="M415" i="1" a="1"/>
  <c r="M415" i="1"/>
  <c r="M416" i="1" a="1"/>
  <c r="M416" i="1"/>
  <c r="M417" i="1" a="1"/>
  <c r="M417" i="1"/>
  <c r="M418" i="1" a="1"/>
  <c r="M418" i="1"/>
  <c r="M419" i="1" a="1"/>
  <c r="M419" i="1"/>
  <c r="M420" i="1" a="1"/>
  <c r="M420" i="1"/>
  <c r="M421" i="1" a="1"/>
  <c r="M421" i="1"/>
  <c r="M422" i="1" a="1"/>
  <c r="M422" i="1"/>
  <c r="M423" i="1" a="1"/>
  <c r="M423" i="1"/>
  <c r="M424" i="1" a="1"/>
  <c r="M424" i="1"/>
  <c r="M425" i="1" a="1"/>
  <c r="M425" i="1"/>
  <c r="M426" i="1" a="1"/>
  <c r="M426" i="1"/>
  <c r="M427" i="1" a="1"/>
  <c r="M427" i="1"/>
  <c r="M428" i="1" a="1"/>
  <c r="M428" i="1"/>
  <c r="M429" i="1" a="1"/>
  <c r="M429" i="1"/>
  <c r="M430" i="1" a="1"/>
  <c r="M430" i="1"/>
  <c r="M431" i="1" a="1"/>
  <c r="M431" i="1"/>
  <c r="M432" i="1" a="1"/>
  <c r="M432" i="1"/>
  <c r="M433" i="1" a="1"/>
  <c r="M433" i="1"/>
  <c r="M434" i="1" a="1"/>
  <c r="M434" i="1"/>
  <c r="M435" i="1" a="1"/>
  <c r="M435" i="1"/>
  <c r="M436" i="1" a="1"/>
  <c r="M436" i="1"/>
  <c r="M437" i="1" a="1"/>
  <c r="M437" i="1"/>
  <c r="M438" i="1" a="1"/>
  <c r="M438" i="1"/>
  <c r="M439" i="1" a="1"/>
  <c r="M439" i="1"/>
  <c r="M440" i="1" a="1"/>
  <c r="M440" i="1"/>
  <c r="M441" i="1" a="1"/>
  <c r="M441" i="1"/>
  <c r="M442" i="1" a="1"/>
  <c r="M442" i="1"/>
  <c r="M443" i="1" a="1"/>
  <c r="M443" i="1"/>
  <c r="M444" i="1" a="1"/>
  <c r="M444" i="1"/>
  <c r="M445" i="1" a="1"/>
  <c r="M445" i="1"/>
  <c r="M446" i="1" a="1"/>
  <c r="M446" i="1"/>
  <c r="M447" i="1" a="1"/>
  <c r="M447" i="1"/>
  <c r="M448" i="1" a="1"/>
  <c r="M448" i="1"/>
  <c r="M449" i="1" a="1"/>
  <c r="M449" i="1"/>
  <c r="M450" i="1" a="1"/>
  <c r="M450" i="1"/>
  <c r="M451" i="1" a="1"/>
  <c r="M451" i="1"/>
  <c r="M452" i="1" a="1"/>
  <c r="M452" i="1"/>
  <c r="M453" i="1" a="1"/>
  <c r="M453" i="1"/>
  <c r="M454" i="1" a="1"/>
  <c r="M454" i="1"/>
  <c r="M455" i="1" a="1"/>
  <c r="M455" i="1"/>
  <c r="M456" i="1" a="1"/>
  <c r="M456" i="1"/>
  <c r="M457" i="1" a="1"/>
  <c r="M457" i="1"/>
  <c r="M458" i="1" a="1"/>
  <c r="M458" i="1"/>
  <c r="M459" i="1" a="1"/>
  <c r="M459" i="1"/>
  <c r="M460" i="1" a="1"/>
  <c r="M460" i="1"/>
  <c r="M461" i="1" a="1"/>
  <c r="M461" i="1"/>
  <c r="M462" i="1" a="1"/>
  <c r="M462" i="1"/>
  <c r="M463" i="1" a="1"/>
  <c r="M463" i="1"/>
  <c r="M464" i="1" a="1"/>
  <c r="M464" i="1"/>
  <c r="M465" i="1" a="1"/>
  <c r="M465" i="1"/>
  <c r="M466" i="1" a="1"/>
  <c r="M466" i="1"/>
  <c r="M467" i="1" a="1"/>
  <c r="M467" i="1"/>
  <c r="M468" i="1" a="1"/>
  <c r="M468" i="1"/>
  <c r="M469" i="1" a="1"/>
  <c r="M469" i="1"/>
  <c r="M470" i="1" a="1"/>
  <c r="M470" i="1"/>
  <c r="M471" i="1" a="1"/>
  <c r="M471" i="1"/>
  <c r="M472" i="1" a="1"/>
  <c r="M472" i="1"/>
  <c r="M473" i="1" a="1"/>
  <c r="M473" i="1"/>
  <c r="M474" i="1" a="1"/>
  <c r="M474" i="1"/>
  <c r="M475" i="1" a="1"/>
  <c r="M475" i="1"/>
  <c r="M476" i="1" a="1"/>
  <c r="M476" i="1"/>
  <c r="M477" i="1" a="1"/>
  <c r="M477" i="1"/>
  <c r="M478" i="1" a="1"/>
  <c r="M478" i="1"/>
  <c r="M479" i="1" a="1"/>
  <c r="M479" i="1"/>
  <c r="M480" i="1" a="1"/>
  <c r="M480" i="1"/>
  <c r="M481" i="1" a="1"/>
  <c r="M481" i="1"/>
  <c r="M482" i="1" a="1"/>
  <c r="M482" i="1"/>
  <c r="M483" i="1" a="1"/>
  <c r="M483" i="1"/>
  <c r="M484" i="1" a="1"/>
  <c r="M484" i="1"/>
  <c r="M485" i="1" a="1"/>
  <c r="M485" i="1"/>
  <c r="M486" i="1" a="1"/>
  <c r="M486" i="1"/>
  <c r="M487" i="1" a="1"/>
  <c r="M487" i="1"/>
  <c r="M488" i="1" a="1"/>
  <c r="M488" i="1"/>
  <c r="M489" i="1" a="1"/>
  <c r="M489" i="1"/>
  <c r="M490" i="1" a="1"/>
  <c r="M490" i="1"/>
  <c r="M491" i="1" a="1"/>
  <c r="M491" i="1"/>
  <c r="M492" i="1" a="1"/>
  <c r="M492" i="1"/>
  <c r="M493" i="1" a="1"/>
  <c r="M493" i="1"/>
  <c r="M494" i="1" a="1"/>
  <c r="M494" i="1"/>
  <c r="M495" i="1" a="1"/>
  <c r="M495" i="1"/>
  <c r="M496" i="1" a="1"/>
  <c r="M496" i="1"/>
  <c r="M497" i="1" a="1"/>
  <c r="M497" i="1"/>
  <c r="M498" i="1" a="1"/>
  <c r="M498" i="1"/>
  <c r="M499" i="1" a="1"/>
  <c r="M499" i="1"/>
  <c r="M500" i="1" a="1"/>
  <c r="M500" i="1"/>
  <c r="M501" i="1" a="1"/>
  <c r="M501" i="1"/>
  <c r="M502" i="1" a="1"/>
  <c r="M502" i="1"/>
  <c r="M503" i="1" a="1"/>
  <c r="M503" i="1"/>
  <c r="M504" i="1" a="1"/>
  <c r="M504" i="1"/>
  <c r="M505" i="1" a="1"/>
  <c r="M505" i="1"/>
  <c r="M506" i="1" a="1"/>
  <c r="M506" i="1"/>
  <c r="M507" i="1" a="1"/>
  <c r="M507" i="1"/>
  <c r="M508" i="1" a="1"/>
  <c r="M508" i="1"/>
  <c r="M509" i="1" a="1"/>
  <c r="M509" i="1"/>
  <c r="M510" i="1" a="1"/>
  <c r="M510" i="1"/>
  <c r="M511" i="1" a="1"/>
  <c r="M511" i="1"/>
  <c r="M512" i="1" a="1"/>
  <c r="M512" i="1"/>
  <c r="M513" i="1" a="1"/>
  <c r="M513" i="1"/>
  <c r="M514" i="1" a="1"/>
  <c r="M514" i="1"/>
  <c r="M515" i="1" a="1"/>
  <c r="M515" i="1"/>
  <c r="M516" i="1" a="1"/>
  <c r="M516" i="1"/>
  <c r="M517" i="1" a="1"/>
  <c r="M517" i="1"/>
  <c r="M518" i="1" a="1"/>
  <c r="M518" i="1"/>
  <c r="M519" i="1" a="1"/>
  <c r="M519" i="1"/>
  <c r="M520" i="1" a="1"/>
  <c r="M520" i="1"/>
  <c r="M521" i="1" a="1"/>
  <c r="M521" i="1"/>
  <c r="M522" i="1" a="1"/>
  <c r="M522" i="1"/>
  <c r="M523" i="1" a="1"/>
  <c r="M523" i="1"/>
  <c r="M524" i="1" a="1"/>
  <c r="M524" i="1"/>
  <c r="M525" i="1" a="1"/>
  <c r="M525" i="1"/>
  <c r="M526" i="1" a="1"/>
  <c r="M526" i="1"/>
  <c r="M527" i="1" a="1"/>
  <c r="M527" i="1"/>
  <c r="M528" i="1" a="1"/>
  <c r="M528" i="1"/>
  <c r="M529" i="1" a="1"/>
  <c r="M529" i="1"/>
  <c r="M530" i="1" a="1"/>
  <c r="M530" i="1"/>
  <c r="M531" i="1" a="1"/>
  <c r="M531" i="1"/>
  <c r="M532" i="1" a="1"/>
  <c r="M532" i="1"/>
  <c r="M533" i="1" a="1"/>
  <c r="M533" i="1"/>
  <c r="M534" i="1" a="1"/>
  <c r="M534" i="1"/>
  <c r="M535" i="1" a="1"/>
  <c r="M535" i="1"/>
  <c r="M536" i="1" a="1"/>
  <c r="M536" i="1"/>
  <c r="M537" i="1" a="1"/>
  <c r="M537" i="1"/>
  <c r="M538" i="1" a="1"/>
  <c r="M538" i="1"/>
  <c r="M539" i="1" a="1"/>
  <c r="M539" i="1"/>
  <c r="M540" i="1" a="1"/>
  <c r="M540" i="1"/>
  <c r="M541" i="1" a="1"/>
  <c r="M541" i="1"/>
  <c r="M542" i="1" a="1"/>
  <c r="M542" i="1"/>
  <c r="M543" i="1" a="1"/>
  <c r="M543" i="1"/>
  <c r="M544" i="1" a="1"/>
  <c r="M544" i="1"/>
  <c r="M545" i="1" a="1"/>
  <c r="M545" i="1"/>
  <c r="M546" i="1" a="1"/>
  <c r="M546" i="1"/>
  <c r="M547" i="1" a="1"/>
  <c r="M547" i="1"/>
  <c r="M548" i="1" a="1"/>
  <c r="M548" i="1"/>
  <c r="M549" i="1" a="1"/>
  <c r="M549" i="1"/>
  <c r="M550" i="1" a="1"/>
  <c r="M550" i="1"/>
  <c r="M551" i="1" a="1"/>
  <c r="M551" i="1"/>
  <c r="M552" i="1" a="1"/>
  <c r="M552" i="1"/>
  <c r="M553" i="1" a="1"/>
  <c r="M553" i="1"/>
  <c r="M554" i="1" a="1"/>
  <c r="M554" i="1"/>
  <c r="M555" i="1" a="1"/>
  <c r="M555" i="1"/>
  <c r="M556" i="1" a="1"/>
  <c r="M556" i="1"/>
  <c r="M557" i="1" a="1"/>
  <c r="M557" i="1"/>
  <c r="M558" i="1" a="1"/>
  <c r="M558" i="1"/>
  <c r="M559" i="1" a="1"/>
  <c r="M559" i="1"/>
  <c r="M560" i="1" a="1"/>
  <c r="M560" i="1"/>
  <c r="M561" i="1" a="1"/>
  <c r="M561" i="1"/>
  <c r="M562" i="1" a="1"/>
  <c r="M562" i="1"/>
  <c r="M563" i="1" a="1"/>
  <c r="M563" i="1"/>
  <c r="M564" i="1" a="1"/>
  <c r="M564" i="1"/>
  <c r="M565" i="1" a="1"/>
  <c r="M565" i="1"/>
  <c r="M566" i="1" a="1"/>
  <c r="M566" i="1"/>
  <c r="M567" i="1" a="1"/>
  <c r="M567" i="1"/>
  <c r="M568" i="1" a="1"/>
  <c r="M568" i="1"/>
  <c r="M569" i="1" a="1"/>
  <c r="M569" i="1"/>
  <c r="M570" i="1" a="1"/>
  <c r="M570" i="1"/>
  <c r="M571" i="1" a="1"/>
  <c r="M571" i="1"/>
  <c r="M572" i="1" a="1"/>
  <c r="M572" i="1"/>
  <c r="M573" i="1" a="1"/>
  <c r="M573" i="1"/>
  <c r="M574" i="1" a="1"/>
  <c r="M574" i="1"/>
  <c r="M575" i="1" a="1"/>
  <c r="M575" i="1"/>
  <c r="M576" i="1" a="1"/>
  <c r="M576" i="1"/>
  <c r="M577" i="1" a="1"/>
  <c r="M577" i="1"/>
  <c r="M578" i="1" a="1"/>
  <c r="M578" i="1"/>
  <c r="M579" i="1" a="1"/>
  <c r="M579" i="1"/>
  <c r="M580" i="1" a="1"/>
  <c r="M580" i="1"/>
  <c r="M581" i="1" a="1"/>
  <c r="M581" i="1"/>
  <c r="M582" i="1" a="1"/>
  <c r="M582" i="1"/>
  <c r="M583" i="1" a="1"/>
  <c r="M583" i="1"/>
  <c r="M584" i="1" a="1"/>
  <c r="M584" i="1"/>
  <c r="M585" i="1" a="1"/>
  <c r="M585" i="1"/>
  <c r="M586" i="1" a="1"/>
  <c r="M586" i="1"/>
  <c r="M587" i="1" a="1"/>
  <c r="M587" i="1"/>
  <c r="M588" i="1" a="1"/>
  <c r="M588" i="1"/>
  <c r="M589" i="1" a="1"/>
  <c r="M589" i="1"/>
  <c r="M590" i="1" a="1"/>
  <c r="M590" i="1"/>
  <c r="M591" i="1" a="1"/>
  <c r="M591" i="1"/>
  <c r="M592" i="1" a="1"/>
  <c r="M592" i="1"/>
  <c r="M593" i="1" a="1"/>
  <c r="M593" i="1"/>
  <c r="M594" i="1" a="1"/>
  <c r="M594" i="1"/>
  <c r="M595" i="1" a="1"/>
  <c r="M595" i="1"/>
  <c r="M596" i="1" a="1"/>
  <c r="M596" i="1"/>
  <c r="M597" i="1" a="1"/>
  <c r="M597" i="1"/>
  <c r="M598" i="1" a="1"/>
  <c r="M598" i="1"/>
  <c r="M599" i="1" a="1"/>
  <c r="M599" i="1"/>
  <c r="M600" i="1" a="1"/>
  <c r="M600" i="1"/>
  <c r="M601" i="1" a="1"/>
  <c r="M601" i="1"/>
  <c r="M602" i="1" a="1"/>
  <c r="M602" i="1"/>
  <c r="M603" i="1" a="1"/>
  <c r="M603" i="1"/>
  <c r="M604" i="1" a="1"/>
  <c r="M604" i="1"/>
  <c r="M605" i="1" a="1"/>
  <c r="M605" i="1"/>
  <c r="M606" i="1" a="1"/>
  <c r="M606" i="1"/>
  <c r="M607" i="1" a="1"/>
  <c r="M607" i="1"/>
  <c r="M608" i="1" a="1"/>
  <c r="M608" i="1"/>
  <c r="M609" i="1" a="1"/>
  <c r="M609" i="1"/>
  <c r="M610" i="1" a="1"/>
  <c r="M610" i="1"/>
  <c r="M611" i="1" a="1"/>
  <c r="M611" i="1"/>
  <c r="M612" i="1" a="1"/>
  <c r="M612" i="1"/>
  <c r="M613" i="1" a="1"/>
  <c r="M613" i="1"/>
  <c r="M614" i="1" a="1"/>
  <c r="M614" i="1"/>
  <c r="M615" i="1" a="1"/>
  <c r="M615" i="1"/>
  <c r="M616" i="1" a="1"/>
  <c r="M616" i="1"/>
  <c r="M617" i="1" a="1"/>
  <c r="M617" i="1"/>
  <c r="M618" i="1" a="1"/>
  <c r="M618" i="1"/>
  <c r="M619" i="1" a="1"/>
  <c r="M619" i="1"/>
  <c r="M620" i="1" a="1"/>
  <c r="M620" i="1"/>
  <c r="M621" i="1" a="1"/>
  <c r="M621" i="1"/>
  <c r="M622" i="1" a="1"/>
  <c r="M622" i="1"/>
  <c r="M623" i="1" a="1"/>
  <c r="M623" i="1"/>
  <c r="M624" i="1" a="1"/>
  <c r="M624" i="1"/>
  <c r="M625" i="1" a="1"/>
  <c r="M625" i="1"/>
  <c r="M626" i="1" a="1"/>
  <c r="M626" i="1"/>
  <c r="M627" i="1" a="1"/>
  <c r="M627" i="1"/>
  <c r="M628" i="1" a="1"/>
  <c r="M628" i="1"/>
  <c r="M629" i="1" a="1"/>
  <c r="M629" i="1"/>
  <c r="M630" i="1" a="1"/>
  <c r="M630" i="1"/>
  <c r="M631" i="1" a="1"/>
  <c r="M631" i="1"/>
  <c r="M632" i="1" a="1"/>
  <c r="M632" i="1"/>
  <c r="M633" i="1" a="1"/>
  <c r="M633" i="1"/>
  <c r="M634" i="1" a="1"/>
  <c r="M634" i="1"/>
  <c r="M635" i="1" a="1"/>
  <c r="M635" i="1"/>
  <c r="M636" i="1" a="1"/>
  <c r="M636" i="1"/>
  <c r="M637" i="1" a="1"/>
  <c r="M637" i="1"/>
  <c r="M638" i="1" a="1"/>
  <c r="M638" i="1"/>
  <c r="M639" i="1" a="1"/>
  <c r="M639" i="1"/>
  <c r="M640" i="1" a="1"/>
  <c r="M640" i="1"/>
  <c r="M641" i="1" a="1"/>
  <c r="M641" i="1"/>
  <c r="M642" i="1" a="1"/>
  <c r="M642" i="1"/>
  <c r="M643" i="1" a="1"/>
  <c r="M643" i="1"/>
  <c r="M644" i="1" a="1"/>
  <c r="M644" i="1"/>
  <c r="M645" i="1" a="1"/>
  <c r="M645" i="1"/>
  <c r="M646" i="1" a="1"/>
  <c r="M646" i="1"/>
  <c r="M647" i="1" a="1"/>
  <c r="M647" i="1"/>
  <c r="M648" i="1" a="1"/>
  <c r="M648" i="1"/>
  <c r="M649" i="1" a="1"/>
  <c r="M649" i="1"/>
  <c r="M650" i="1" a="1"/>
  <c r="M650" i="1"/>
  <c r="M651" i="1" a="1"/>
  <c r="M651" i="1"/>
  <c r="M652" i="1" a="1"/>
  <c r="M652" i="1"/>
  <c r="M653" i="1" a="1"/>
  <c r="M653" i="1"/>
  <c r="M654" i="1" a="1"/>
  <c r="M654" i="1"/>
  <c r="M655" i="1" a="1"/>
  <c r="M655" i="1"/>
  <c r="M656" i="1" a="1"/>
  <c r="M656" i="1"/>
  <c r="M657" i="1" a="1"/>
  <c r="M657" i="1"/>
  <c r="M658" i="1" a="1"/>
  <c r="M658" i="1"/>
  <c r="M659" i="1" a="1"/>
  <c r="M659" i="1"/>
  <c r="M660" i="1" a="1"/>
  <c r="M660" i="1"/>
  <c r="M661" i="1" a="1"/>
  <c r="M661" i="1"/>
  <c r="M662" i="1" a="1"/>
  <c r="M662" i="1"/>
  <c r="M663" i="1" a="1"/>
  <c r="M663" i="1"/>
  <c r="M664" i="1" a="1"/>
  <c r="M664" i="1"/>
  <c r="M665" i="1" a="1"/>
  <c r="M665" i="1"/>
  <c r="M666" i="1" a="1"/>
  <c r="M666" i="1"/>
  <c r="M667" i="1" a="1"/>
  <c r="M667" i="1"/>
  <c r="M668" i="1" a="1"/>
  <c r="M668" i="1"/>
  <c r="M669" i="1" a="1"/>
  <c r="M669" i="1"/>
  <c r="M670" i="1" a="1"/>
  <c r="M670" i="1"/>
  <c r="M671" i="1" a="1"/>
  <c r="M671" i="1"/>
  <c r="M672" i="1" a="1"/>
  <c r="M672" i="1"/>
  <c r="M673" i="1" a="1"/>
  <c r="M673" i="1"/>
  <c r="M674" i="1" a="1"/>
  <c r="M674" i="1"/>
  <c r="M675" i="1" a="1"/>
  <c r="M675" i="1"/>
  <c r="M676" i="1" a="1"/>
  <c r="M676" i="1"/>
  <c r="M677" i="1" a="1"/>
  <c r="M677" i="1"/>
  <c r="M678" i="1" a="1"/>
  <c r="M678" i="1"/>
  <c r="M679" i="1" a="1"/>
  <c r="M679" i="1"/>
  <c r="M680" i="1" a="1"/>
  <c r="M680" i="1"/>
  <c r="M681" i="1" a="1"/>
  <c r="M681" i="1"/>
  <c r="M682" i="1" a="1"/>
  <c r="M682" i="1"/>
  <c r="M683" i="1" a="1"/>
  <c r="M683" i="1"/>
  <c r="M684" i="1" a="1"/>
  <c r="M684" i="1"/>
  <c r="M685" i="1" a="1"/>
  <c r="M685" i="1"/>
  <c r="M686" i="1" a="1"/>
  <c r="M686" i="1"/>
  <c r="M687" i="1" a="1"/>
  <c r="M687" i="1"/>
  <c r="M688" i="1" a="1"/>
  <c r="M688" i="1"/>
  <c r="M689" i="1" a="1"/>
  <c r="M689" i="1"/>
  <c r="M690" i="1" a="1"/>
  <c r="M690" i="1"/>
  <c r="M691" i="1" a="1"/>
  <c r="M691" i="1"/>
  <c r="M692" i="1" a="1"/>
  <c r="M692" i="1"/>
  <c r="M693" i="1" a="1"/>
  <c r="M693" i="1"/>
  <c r="M694" i="1" a="1"/>
  <c r="M694" i="1"/>
  <c r="M695" i="1" a="1"/>
  <c r="M695" i="1"/>
  <c r="M696" i="1" a="1"/>
  <c r="M696" i="1"/>
  <c r="M697" i="1" a="1"/>
  <c r="M697" i="1"/>
  <c r="M698" i="1" a="1"/>
  <c r="M698" i="1"/>
  <c r="M699" i="1" a="1"/>
  <c r="M699" i="1"/>
  <c r="M700" i="1" a="1"/>
  <c r="M700" i="1"/>
  <c r="M701" i="1" a="1"/>
  <c r="M701" i="1"/>
  <c r="M702" i="1" a="1"/>
  <c r="M702" i="1"/>
  <c r="M703" i="1" a="1"/>
  <c r="M703" i="1"/>
  <c r="M704" i="1" a="1"/>
  <c r="M704" i="1"/>
  <c r="M705" i="1" a="1"/>
  <c r="M705" i="1"/>
  <c r="M706" i="1" a="1"/>
  <c r="M706" i="1"/>
  <c r="M707" i="1" a="1"/>
  <c r="M707" i="1"/>
  <c r="M708" i="1" a="1"/>
  <c r="M708" i="1"/>
  <c r="M709" i="1" a="1"/>
  <c r="M709" i="1"/>
  <c r="M710" i="1" a="1"/>
  <c r="M710" i="1"/>
  <c r="M711" i="1" a="1"/>
  <c r="M711" i="1"/>
  <c r="M712" i="1" a="1"/>
  <c r="M712" i="1"/>
  <c r="M713" i="1" a="1"/>
  <c r="M713" i="1"/>
  <c r="M714" i="1" a="1"/>
  <c r="M714" i="1"/>
  <c r="M715" i="1" a="1"/>
  <c r="M715" i="1"/>
  <c r="M716" i="1" a="1"/>
  <c r="M716" i="1"/>
  <c r="M717" i="1" a="1"/>
  <c r="M717" i="1"/>
  <c r="M718" i="1" a="1"/>
  <c r="M718" i="1"/>
  <c r="M719" i="1" a="1"/>
  <c r="M719" i="1"/>
  <c r="M720" i="1" a="1"/>
  <c r="M720" i="1"/>
  <c r="M721" i="1" a="1"/>
  <c r="M721" i="1"/>
  <c r="M722" i="1" a="1"/>
  <c r="M722" i="1"/>
  <c r="M723" i="1" a="1"/>
  <c r="M723" i="1"/>
  <c r="M724" i="1" a="1"/>
  <c r="M724" i="1"/>
  <c r="M725" i="1" a="1"/>
  <c r="M725" i="1"/>
  <c r="M726" i="1" a="1"/>
  <c r="M726" i="1"/>
  <c r="M727" i="1" a="1"/>
  <c r="M727" i="1"/>
  <c r="M728" i="1" a="1"/>
  <c r="M728" i="1"/>
  <c r="M729" i="1" a="1"/>
  <c r="M729" i="1"/>
  <c r="M730" i="1" a="1"/>
  <c r="M730" i="1"/>
  <c r="M731" i="1" a="1"/>
  <c r="M731" i="1"/>
  <c r="M732" i="1" a="1"/>
  <c r="M732" i="1"/>
  <c r="M733" i="1" a="1"/>
  <c r="M733" i="1"/>
  <c r="M734" i="1" a="1"/>
  <c r="M734" i="1"/>
  <c r="M735" i="1" a="1"/>
  <c r="M735" i="1"/>
  <c r="M736" i="1" a="1"/>
  <c r="M736" i="1"/>
  <c r="M737" i="1" a="1"/>
  <c r="M737" i="1"/>
  <c r="M738" i="1" a="1"/>
  <c r="M738" i="1"/>
  <c r="M739" i="1" a="1"/>
  <c r="M739" i="1"/>
  <c r="M740" i="1" a="1"/>
  <c r="M740" i="1"/>
  <c r="M741" i="1" a="1"/>
  <c r="M741" i="1"/>
  <c r="M742" i="1" a="1"/>
  <c r="M742" i="1"/>
  <c r="M743" i="1" a="1"/>
  <c r="M743" i="1"/>
  <c r="M744" i="1" a="1"/>
  <c r="M744" i="1"/>
  <c r="M745" i="1" a="1"/>
  <c r="M745" i="1"/>
  <c r="M746" i="1" a="1"/>
  <c r="M746" i="1"/>
  <c r="M747" i="1" a="1"/>
  <c r="M747" i="1"/>
  <c r="M748" i="1" a="1"/>
  <c r="M748" i="1"/>
  <c r="M749" i="1" a="1"/>
  <c r="M749" i="1"/>
  <c r="M750" i="1" a="1"/>
  <c r="M750" i="1"/>
  <c r="M751" i="1" a="1"/>
  <c r="M751" i="1"/>
  <c r="M752" i="1" a="1"/>
  <c r="M752" i="1"/>
  <c r="M753" i="1" a="1"/>
  <c r="M753" i="1"/>
  <c r="M754" i="1" a="1"/>
  <c r="M754" i="1"/>
  <c r="M755" i="1" a="1"/>
  <c r="M755" i="1"/>
  <c r="M756" i="1" a="1"/>
  <c r="M756" i="1"/>
  <c r="M757" i="1" a="1"/>
  <c r="M757" i="1"/>
  <c r="M758" i="1" a="1"/>
  <c r="M758" i="1"/>
  <c r="M759" i="1" a="1"/>
  <c r="M759" i="1"/>
  <c r="M760" i="1" a="1"/>
  <c r="M760" i="1"/>
  <c r="M761" i="1" a="1"/>
  <c r="M761" i="1"/>
  <c r="M762" i="1" a="1"/>
  <c r="M762" i="1"/>
  <c r="M763" i="1" a="1"/>
  <c r="M763" i="1"/>
  <c r="M764" i="1" a="1"/>
  <c r="M764" i="1"/>
  <c r="M765" i="1" a="1"/>
  <c r="M765" i="1"/>
  <c r="M766" i="1" a="1"/>
  <c r="M766" i="1"/>
  <c r="M767" i="1" a="1"/>
  <c r="M767" i="1"/>
  <c r="M768" i="1" a="1"/>
  <c r="M768" i="1"/>
  <c r="M769" i="1" a="1"/>
  <c r="M769" i="1"/>
  <c r="M770" i="1" a="1"/>
  <c r="M770" i="1"/>
  <c r="M771" i="1" a="1"/>
  <c r="M771" i="1"/>
  <c r="M772" i="1" a="1"/>
  <c r="M772" i="1"/>
  <c r="M773" i="1" a="1"/>
  <c r="M773" i="1"/>
  <c r="M774" i="1" a="1"/>
  <c r="M774" i="1"/>
  <c r="M775" i="1" a="1"/>
  <c r="M775" i="1"/>
  <c r="M776" i="1" a="1"/>
  <c r="M776" i="1"/>
  <c r="M777" i="1" a="1"/>
  <c r="M777" i="1"/>
  <c r="M778" i="1" a="1"/>
  <c r="M778" i="1"/>
  <c r="M779" i="1" a="1"/>
  <c r="M779" i="1"/>
  <c r="M780" i="1" a="1"/>
  <c r="M780" i="1"/>
  <c r="M781" i="1" a="1"/>
  <c r="M781" i="1"/>
  <c r="M782" i="1" a="1"/>
  <c r="M782" i="1"/>
  <c r="M783" i="1" a="1"/>
  <c r="M783" i="1"/>
  <c r="M784" i="1" a="1"/>
  <c r="M784" i="1"/>
  <c r="M785" i="1" a="1"/>
  <c r="M785" i="1"/>
  <c r="M786" i="1" a="1"/>
  <c r="M786" i="1"/>
  <c r="M787" i="1" a="1"/>
  <c r="M787" i="1"/>
  <c r="M788" i="1" a="1"/>
  <c r="M788" i="1"/>
  <c r="M789" i="1" a="1"/>
  <c r="M789" i="1"/>
  <c r="M790" i="1" a="1"/>
  <c r="M790" i="1"/>
  <c r="M791" i="1" a="1"/>
  <c r="M791" i="1"/>
  <c r="M792" i="1" a="1"/>
  <c r="M792" i="1"/>
  <c r="M793" i="1" a="1"/>
  <c r="M793" i="1"/>
  <c r="M794" i="1" a="1"/>
  <c r="M794" i="1"/>
  <c r="M795" i="1" a="1"/>
  <c r="M795" i="1"/>
  <c r="M796" i="1" a="1"/>
  <c r="M796" i="1"/>
  <c r="M797" i="1" a="1"/>
  <c r="M797" i="1"/>
  <c r="M798" i="1" a="1"/>
  <c r="M798" i="1"/>
  <c r="M799" i="1" a="1"/>
  <c r="M799" i="1"/>
  <c r="M800" i="1" a="1"/>
  <c r="M800" i="1"/>
  <c r="M801" i="1" a="1"/>
  <c r="M801" i="1"/>
  <c r="M802" i="1" a="1"/>
  <c r="M802" i="1"/>
  <c r="M803" i="1" a="1"/>
  <c r="M803" i="1"/>
  <c r="M804" i="1" a="1"/>
  <c r="M804" i="1"/>
  <c r="M805" i="1" a="1"/>
  <c r="M805" i="1"/>
  <c r="M806" i="1" a="1"/>
  <c r="M806" i="1"/>
  <c r="M807" i="1" a="1"/>
  <c r="M807" i="1"/>
  <c r="M808" i="1" a="1"/>
  <c r="M808" i="1"/>
  <c r="M809" i="1" a="1"/>
  <c r="M809" i="1"/>
  <c r="M810" i="1" a="1"/>
  <c r="M810" i="1"/>
  <c r="M811" i="1" a="1"/>
  <c r="M811" i="1"/>
  <c r="M812" i="1" a="1"/>
  <c r="M812" i="1"/>
  <c r="M813" i="1" a="1"/>
  <c r="M813" i="1"/>
  <c r="M814" i="1" a="1"/>
  <c r="M814" i="1"/>
  <c r="M815" i="1" a="1"/>
  <c r="M815" i="1"/>
  <c r="M816" i="1" a="1"/>
  <c r="M816" i="1"/>
  <c r="M817" i="1" a="1"/>
  <c r="M817" i="1"/>
  <c r="M818" i="1" a="1"/>
  <c r="M818" i="1"/>
  <c r="M819" i="1" a="1"/>
  <c r="M819" i="1"/>
  <c r="M820" i="1" a="1"/>
  <c r="M820" i="1"/>
  <c r="M821" i="1" a="1"/>
  <c r="M821" i="1"/>
  <c r="M822" i="1" a="1"/>
  <c r="M822" i="1"/>
  <c r="M823" i="1" a="1"/>
  <c r="M823" i="1"/>
  <c r="M824" i="1" a="1"/>
  <c r="M824" i="1"/>
  <c r="M825" i="1" a="1"/>
  <c r="M825" i="1"/>
  <c r="M826" i="1" a="1"/>
  <c r="M826" i="1"/>
  <c r="M827" i="1" a="1"/>
  <c r="M827" i="1"/>
  <c r="M828" i="1" a="1"/>
  <c r="M828" i="1"/>
  <c r="M829" i="1" a="1"/>
  <c r="M829" i="1"/>
  <c r="M830" i="1" a="1"/>
  <c r="M830" i="1"/>
  <c r="M831" i="1" a="1"/>
  <c r="M831" i="1"/>
  <c r="M832" i="1" a="1"/>
  <c r="M832" i="1"/>
  <c r="M833" i="1" a="1"/>
  <c r="M833" i="1"/>
  <c r="M834" i="1" a="1"/>
  <c r="M834" i="1"/>
  <c r="M835" i="1" a="1"/>
  <c r="M835" i="1"/>
  <c r="M836" i="1" a="1"/>
  <c r="M836" i="1"/>
  <c r="M837" i="1" a="1"/>
  <c r="M837" i="1"/>
  <c r="M838" i="1" a="1"/>
  <c r="M838" i="1"/>
  <c r="M839" i="1" a="1"/>
  <c r="M839" i="1"/>
  <c r="M840" i="1" a="1"/>
  <c r="M840" i="1"/>
  <c r="M841" i="1" a="1"/>
  <c r="M841" i="1"/>
  <c r="M842" i="1" a="1"/>
  <c r="M842" i="1"/>
  <c r="M843" i="1" a="1"/>
  <c r="M843" i="1"/>
  <c r="M844" i="1" a="1"/>
  <c r="M844" i="1"/>
  <c r="M845" i="1" a="1"/>
  <c r="M845" i="1"/>
  <c r="M846" i="1" a="1"/>
  <c r="M846" i="1"/>
  <c r="M847" i="1" a="1"/>
  <c r="M847" i="1"/>
  <c r="M848" i="1" a="1"/>
  <c r="M848" i="1"/>
  <c r="M849" i="1" a="1"/>
  <c r="M849" i="1"/>
  <c r="M850" i="1" a="1"/>
  <c r="M850" i="1"/>
  <c r="M851" i="1" a="1"/>
  <c r="M851" i="1"/>
  <c r="M852" i="1" a="1"/>
  <c r="M852" i="1"/>
  <c r="M853" i="1" a="1"/>
  <c r="M853" i="1"/>
  <c r="M854" i="1" a="1"/>
  <c r="M854" i="1"/>
  <c r="M855" i="1" a="1"/>
  <c r="M855" i="1"/>
  <c r="M856" i="1" a="1"/>
  <c r="M856" i="1"/>
  <c r="M857" i="1" a="1"/>
  <c r="M857" i="1"/>
  <c r="M858" i="1" a="1"/>
  <c r="M858" i="1"/>
  <c r="M859" i="1" a="1"/>
  <c r="M859" i="1"/>
  <c r="M860" i="1" a="1"/>
  <c r="M860" i="1"/>
  <c r="M861" i="1" a="1"/>
  <c r="M861" i="1"/>
  <c r="M862" i="1" a="1"/>
  <c r="M862" i="1"/>
  <c r="M863" i="1" a="1"/>
  <c r="M863" i="1"/>
  <c r="M864" i="1" a="1"/>
  <c r="M864" i="1"/>
  <c r="M865" i="1" a="1"/>
  <c r="M865" i="1"/>
  <c r="M866" i="1" a="1"/>
  <c r="M866" i="1"/>
  <c r="M867" i="1" a="1"/>
  <c r="M867" i="1"/>
  <c r="M868" i="1" a="1"/>
  <c r="M868" i="1"/>
  <c r="M869" i="1" a="1"/>
  <c r="M869" i="1"/>
  <c r="M870" i="1" a="1"/>
  <c r="M870" i="1"/>
  <c r="M871" i="1" a="1"/>
  <c r="M871" i="1"/>
  <c r="M872" i="1" a="1"/>
  <c r="M872" i="1"/>
  <c r="M873" i="1" a="1"/>
  <c r="M873" i="1"/>
  <c r="M874" i="1" a="1"/>
  <c r="M874" i="1"/>
  <c r="M875" i="1" a="1"/>
  <c r="M875" i="1"/>
  <c r="M876" i="1" a="1"/>
  <c r="M876" i="1"/>
  <c r="M877" i="1" a="1"/>
  <c r="M877" i="1"/>
  <c r="M878" i="1" a="1"/>
  <c r="M878" i="1"/>
  <c r="M879" i="1" a="1"/>
  <c r="M879" i="1"/>
  <c r="M880" i="1" a="1"/>
  <c r="M880" i="1"/>
  <c r="M881" i="1" a="1"/>
  <c r="M881" i="1"/>
  <c r="M882" i="1" a="1"/>
  <c r="M882" i="1"/>
  <c r="M883" i="1" a="1"/>
  <c r="M883" i="1"/>
  <c r="M884" i="1" a="1"/>
  <c r="M884" i="1"/>
  <c r="M885" i="1" a="1"/>
  <c r="M885" i="1"/>
  <c r="M886" i="1" a="1"/>
  <c r="M886" i="1"/>
  <c r="M887" i="1" a="1"/>
  <c r="M887" i="1"/>
  <c r="M888" i="1" a="1"/>
  <c r="M888" i="1"/>
  <c r="M889" i="1" a="1"/>
  <c r="M889" i="1"/>
  <c r="M890" i="1" a="1"/>
  <c r="M890" i="1"/>
  <c r="M891" i="1" a="1"/>
  <c r="M891" i="1"/>
  <c r="M892" i="1" a="1"/>
  <c r="M892" i="1"/>
  <c r="M893" i="1" a="1"/>
  <c r="M893" i="1"/>
  <c r="M894" i="1" a="1"/>
  <c r="M894" i="1"/>
  <c r="M895" i="1" a="1"/>
  <c r="M895" i="1"/>
  <c r="M896" i="1" a="1"/>
  <c r="M896" i="1"/>
  <c r="M897" i="1" a="1"/>
  <c r="M897" i="1"/>
  <c r="M898" i="1" a="1"/>
  <c r="M898" i="1"/>
  <c r="M899" i="1" a="1"/>
  <c r="M899" i="1"/>
  <c r="M900" i="1" a="1"/>
  <c r="M900" i="1"/>
  <c r="M901" i="1" a="1"/>
  <c r="M901" i="1"/>
  <c r="M902" i="1" a="1"/>
  <c r="M902" i="1"/>
  <c r="M903" i="1" a="1"/>
  <c r="M903" i="1"/>
  <c r="M904" i="1" a="1"/>
  <c r="M904" i="1"/>
  <c r="M905" i="1" a="1"/>
  <c r="M905" i="1"/>
  <c r="M906" i="1" a="1"/>
  <c r="M906" i="1"/>
  <c r="M907" i="1" a="1"/>
  <c r="M907" i="1"/>
  <c r="M908" i="1" a="1"/>
  <c r="M908" i="1"/>
  <c r="M909" i="1" a="1"/>
  <c r="M909" i="1"/>
  <c r="M910" i="1" a="1"/>
  <c r="M910" i="1"/>
  <c r="M911" i="1" a="1"/>
  <c r="M911" i="1"/>
  <c r="M912" i="1" a="1"/>
  <c r="M912" i="1"/>
  <c r="M913" i="1" a="1"/>
  <c r="M913" i="1"/>
  <c r="M914" i="1" a="1"/>
  <c r="M914" i="1"/>
  <c r="M915" i="1" a="1"/>
  <c r="M915" i="1"/>
  <c r="M916" i="1" a="1"/>
  <c r="M916" i="1"/>
  <c r="M917" i="1" a="1"/>
  <c r="M917" i="1"/>
  <c r="M918" i="1" a="1"/>
  <c r="M918" i="1"/>
  <c r="M919" i="1" a="1"/>
  <c r="M919" i="1"/>
  <c r="M920" i="1" a="1"/>
  <c r="M920" i="1"/>
  <c r="M921" i="1" a="1"/>
  <c r="M921" i="1"/>
  <c r="M922" i="1" a="1"/>
  <c r="M922" i="1"/>
  <c r="M923" i="1" a="1"/>
  <c r="M923" i="1"/>
  <c r="M924" i="1" a="1"/>
  <c r="M924" i="1"/>
  <c r="M925" i="1" a="1"/>
  <c r="M925" i="1"/>
  <c r="M926" i="1" a="1"/>
  <c r="M926" i="1"/>
  <c r="M927" i="1" a="1"/>
  <c r="M927" i="1"/>
  <c r="M928" i="1" a="1"/>
  <c r="M928" i="1"/>
  <c r="M929" i="1" a="1"/>
  <c r="M929" i="1"/>
  <c r="M930" i="1" a="1"/>
  <c r="M930" i="1"/>
  <c r="M931" i="1" a="1"/>
  <c r="M931" i="1"/>
  <c r="M932" i="1" a="1"/>
  <c r="M932" i="1"/>
  <c r="M933" i="1" a="1"/>
  <c r="M933" i="1"/>
  <c r="M934" i="1" a="1"/>
  <c r="M934" i="1"/>
  <c r="M935" i="1" a="1"/>
  <c r="M935" i="1"/>
  <c r="M936" i="1" a="1"/>
  <c r="M936" i="1"/>
  <c r="M937" i="1" a="1"/>
  <c r="M937" i="1"/>
  <c r="M938" i="1" a="1"/>
  <c r="M938" i="1"/>
  <c r="M939" i="1" a="1"/>
  <c r="M939" i="1"/>
  <c r="M940" i="1" a="1"/>
  <c r="M940" i="1"/>
  <c r="M941" i="1" a="1"/>
  <c r="M941" i="1"/>
  <c r="M942" i="1" a="1"/>
  <c r="M942" i="1"/>
  <c r="M943" i="1" a="1"/>
  <c r="M943" i="1"/>
  <c r="M944" i="1" a="1"/>
  <c r="M944" i="1"/>
  <c r="M945" i="1" a="1"/>
  <c r="M945" i="1"/>
  <c r="M946" i="1" a="1"/>
  <c r="M946" i="1"/>
  <c r="M947" i="1" a="1"/>
  <c r="M947" i="1"/>
  <c r="M948" i="1" a="1"/>
  <c r="M948" i="1"/>
  <c r="M949" i="1" a="1"/>
  <c r="M949" i="1"/>
  <c r="M950" i="1" a="1"/>
  <c r="M950" i="1"/>
  <c r="M951" i="1" a="1"/>
  <c r="M951" i="1"/>
  <c r="M952" i="1" a="1"/>
  <c r="M952" i="1"/>
  <c r="M953" i="1" a="1"/>
  <c r="M953" i="1"/>
  <c r="M954" i="1" a="1"/>
  <c r="M954" i="1"/>
  <c r="M955" i="1" a="1"/>
  <c r="M955" i="1"/>
  <c r="M956" i="1" a="1"/>
  <c r="M956" i="1"/>
  <c r="M957" i="1" a="1"/>
  <c r="M957" i="1"/>
  <c r="M958" i="1" a="1"/>
  <c r="M958" i="1"/>
  <c r="M959" i="1" a="1"/>
  <c r="M959" i="1"/>
  <c r="M960" i="1" a="1"/>
  <c r="M960" i="1"/>
  <c r="M961" i="1" a="1"/>
  <c r="M961" i="1"/>
  <c r="M962" i="1" a="1"/>
  <c r="M962" i="1"/>
  <c r="M963" i="1" a="1"/>
  <c r="M963" i="1"/>
  <c r="M964" i="1" a="1"/>
  <c r="M964" i="1"/>
  <c r="M965" i="1" a="1"/>
  <c r="M965" i="1"/>
  <c r="M966" i="1" a="1"/>
  <c r="M966" i="1"/>
  <c r="M967" i="1" a="1"/>
  <c r="M967" i="1"/>
  <c r="M968" i="1" a="1"/>
  <c r="M968" i="1"/>
  <c r="M969" i="1" a="1"/>
  <c r="M969" i="1"/>
  <c r="M970" i="1" a="1"/>
  <c r="M970" i="1"/>
  <c r="M971" i="1" a="1"/>
  <c r="M971" i="1"/>
  <c r="M972" i="1" a="1"/>
  <c r="M972" i="1"/>
  <c r="M973" i="1" a="1"/>
  <c r="M973" i="1"/>
  <c r="M974" i="1" a="1"/>
  <c r="M974" i="1"/>
  <c r="M975" i="1" a="1"/>
  <c r="M975" i="1"/>
  <c r="M976" i="1" a="1"/>
  <c r="M976" i="1"/>
  <c r="M977" i="1" a="1"/>
  <c r="M977" i="1"/>
  <c r="M978" i="1" a="1"/>
  <c r="M978" i="1"/>
  <c r="M979" i="1" a="1"/>
  <c r="M979" i="1"/>
  <c r="M980" i="1" a="1"/>
  <c r="M980" i="1"/>
  <c r="M981" i="1" a="1"/>
  <c r="M981" i="1"/>
  <c r="M982" i="1" a="1"/>
  <c r="M982" i="1"/>
  <c r="M983" i="1" a="1"/>
  <c r="M983" i="1"/>
  <c r="M984" i="1" a="1"/>
  <c r="M984" i="1"/>
  <c r="M985" i="1" a="1"/>
  <c r="M985" i="1"/>
  <c r="M986" i="1" a="1"/>
  <c r="M986" i="1"/>
  <c r="M987" i="1" a="1"/>
  <c r="M987" i="1"/>
  <c r="M988" i="1" a="1"/>
  <c r="M988" i="1"/>
  <c r="M989" i="1" a="1"/>
  <c r="M989" i="1"/>
  <c r="M990" i="1" a="1"/>
  <c r="M990" i="1"/>
  <c r="M991" i="1" a="1"/>
  <c r="M991" i="1"/>
  <c r="M992" i="1" a="1"/>
  <c r="M992" i="1"/>
  <c r="M993" i="1" a="1"/>
  <c r="M993" i="1"/>
  <c r="M994" i="1" a="1"/>
  <c r="M994" i="1"/>
  <c r="M995" i="1" a="1"/>
  <c r="M995" i="1"/>
  <c r="M996" i="1" a="1"/>
  <c r="M996" i="1"/>
  <c r="M997" i="1" a="1"/>
  <c r="M997" i="1"/>
  <c r="M998" i="1" a="1"/>
  <c r="M998" i="1"/>
  <c r="M999" i="1" a="1"/>
  <c r="M999" i="1"/>
  <c r="M1000" i="1" a="1"/>
  <c r="M1000" i="1"/>
  <c r="M1001" i="1" a="1"/>
  <c r="M1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<sst xmlns="http://schemas.openxmlformats.org/spreadsheetml/2006/main" count="5065" uniqueCount="1058">
  <si>
    <t>Order_ID</t>
  </si>
  <si>
    <t>Order_Date</t>
  </si>
  <si>
    <t>Region</t>
  </si>
  <si>
    <t>Salesperson</t>
  </si>
  <si>
    <t>Product</t>
  </si>
  <si>
    <t>Quantity</t>
  </si>
  <si>
    <t>Unit_Price</t>
  </si>
  <si>
    <t>Sales_Amount</t>
  </si>
  <si>
    <t>Cost_Amount</t>
  </si>
  <si>
    <t>Profit</t>
  </si>
  <si>
    <t>Payment_Mode</t>
  </si>
  <si>
    <t>ORD0001</t>
  </si>
  <si>
    <t>South</t>
  </si>
  <si>
    <t>Sneha</t>
  </si>
  <si>
    <t>Laptop</t>
  </si>
  <si>
    <t>UPI</t>
  </si>
  <si>
    <t>ORD0002</t>
  </si>
  <si>
    <t>North</t>
  </si>
  <si>
    <t>Aman</t>
  </si>
  <si>
    <t>Headphones</t>
  </si>
  <si>
    <t>ORD0003</t>
  </si>
  <si>
    <t>Vikas</t>
  </si>
  <si>
    <t>Mouse</t>
  </si>
  <si>
    <t>Card</t>
  </si>
  <si>
    <t>ORD0004</t>
  </si>
  <si>
    <t>Printer</t>
  </si>
  <si>
    <t>Cash</t>
  </si>
  <si>
    <t>ORD0005</t>
  </si>
  <si>
    <t>West</t>
  </si>
  <si>
    <t>Rahul</t>
  </si>
  <si>
    <t>ORD0006</t>
  </si>
  <si>
    <t>ORD0007</t>
  </si>
  <si>
    <t>Keyboard</t>
  </si>
  <si>
    <t>ORD0008</t>
  </si>
  <si>
    <t>Neha</t>
  </si>
  <si>
    <t>ORD0009</t>
  </si>
  <si>
    <t>ORD0010</t>
  </si>
  <si>
    <t>Monitor</t>
  </si>
  <si>
    <t>ORD0011</t>
  </si>
  <si>
    <t>ORD0012</t>
  </si>
  <si>
    <t>East</t>
  </si>
  <si>
    <t>ORD0013</t>
  </si>
  <si>
    <t>ORD0014</t>
  </si>
  <si>
    <t>ORD0015</t>
  </si>
  <si>
    <t>Karan</t>
  </si>
  <si>
    <t>ORD0016</t>
  </si>
  <si>
    <t>ORD0017</t>
  </si>
  <si>
    <t>ORD0018</t>
  </si>
  <si>
    <t>ORD0019</t>
  </si>
  <si>
    <t>ORD0020</t>
  </si>
  <si>
    <t>ORD0021</t>
  </si>
  <si>
    <t>Priya</t>
  </si>
  <si>
    <t>ORD0022</t>
  </si>
  <si>
    <t>ORD0023</t>
  </si>
  <si>
    <t>ORD0024</t>
  </si>
  <si>
    <t>ORD0025</t>
  </si>
  <si>
    <t>Anjali</t>
  </si>
  <si>
    <t>ORD0026</t>
  </si>
  <si>
    <t>Net Banking</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</si>
  <si>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</si>
  <si>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</si>
  <si>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</si>
  <si>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</si>
  <si>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</si>
  <si>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</si>
  <si>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</si>
  <si>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</si>
  <si>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</si>
  <si>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</si>
  <si>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</si>
  <si>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</si>
  <si>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</si>
  <si>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</si>
  <si>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</si>
  <si>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</si>
  <si>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</si>
  <si>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</si>
  <si>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</si>
  <si>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</si>
  <si>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</si>
  <si>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</si>
  <si>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</si>
  <si>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</si>
  <si>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</si>
  <si>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</si>
  <si>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</si>
  <si>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</si>
  <si>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</si>
  <si>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</si>
  <si>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</si>
  <si>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</si>
  <si>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</si>
  <si>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</si>
  <si>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</si>
  <si>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</si>
  <si>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</si>
  <si>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</si>
  <si>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</si>
  <si>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</si>
  <si>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</si>
  <si>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</si>
  <si>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</si>
  <si>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</si>
  <si>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</si>
  <si>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</si>
  <si>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</si>
  <si>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</si>
  <si>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</si>
  <si>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</si>
  <si>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</si>
  <si>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</si>
  <si>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</si>
  <si>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</si>
  <si>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</si>
  <si>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</si>
  <si>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</si>
  <si>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</si>
  <si>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</si>
  <si>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</si>
  <si>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</si>
  <si>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</si>
  <si>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</si>
  <si>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</si>
  <si>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</si>
  <si>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</si>
  <si>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</si>
  <si>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</si>
  <si>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</si>
  <si>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</si>
  <si>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</si>
  <si>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</si>
  <si>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</si>
  <si>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</si>
  <si>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</si>
  <si>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</si>
  <si>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</si>
  <si>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</si>
  <si>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</si>
  <si>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</si>
  <si>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</si>
  <si>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</si>
  <si>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</si>
  <si>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</si>
  <si>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</si>
  <si>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</si>
  <si>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</si>
  <si>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</si>
  <si>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</si>
  <si>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</si>
  <si>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</si>
  <si>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</si>
  <si>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</si>
  <si>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</si>
  <si>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</si>
  <si>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</si>
  <si>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</si>
  <si>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</si>
  <si>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</si>
  <si>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</si>
  <si>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</si>
  <si>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</si>
  <si>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</si>
  <si>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</si>
  <si>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</si>
  <si>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</si>
  <si>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</si>
  <si>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</si>
  <si>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</si>
  <si>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</si>
  <si>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</si>
  <si>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</si>
  <si>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</si>
  <si>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</si>
  <si>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</si>
  <si>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</si>
  <si>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</si>
  <si>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</si>
  <si>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</si>
  <si>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</si>
  <si>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</si>
  <si>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</si>
  <si>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</si>
  <si>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</si>
  <si>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</si>
  <si>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</si>
  <si>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</si>
  <si>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</si>
  <si>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</si>
  <si>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</si>
  <si>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</si>
  <si>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</si>
  <si>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</si>
  <si>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</si>
  <si>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</si>
  <si>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</si>
  <si>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</si>
  <si>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</si>
  <si>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</si>
  <si>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</si>
  <si>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</si>
  <si>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</si>
  <si>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</si>
  <si>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</si>
  <si>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</si>
  <si>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</si>
  <si>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</si>
  <si>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</si>
  <si>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</si>
  <si>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</si>
  <si>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</si>
  <si>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</si>
  <si>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</si>
  <si>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</si>
  <si>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</si>
  <si>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</si>
  <si>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</si>
  <si>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</si>
  <si>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</si>
  <si>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</si>
  <si>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</si>
  <si>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</si>
  <si>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</si>
  <si>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</si>
  <si>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</si>
  <si>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</si>
  <si>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</si>
  <si>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</si>
  <si>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</si>
  <si>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</si>
  <si>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</si>
  <si>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</si>
  <si>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</si>
  <si>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</si>
  <si>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</si>
  <si>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</si>
  <si>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</si>
  <si>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</si>
  <si>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</si>
  <si>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</si>
  <si>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</si>
  <si>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</si>
  <si>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</si>
  <si>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</si>
  <si>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</si>
  <si>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</si>
  <si>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</si>
  <si>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</si>
  <si>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</si>
  <si>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</si>
  <si>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</si>
  <si>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</si>
  <si>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</si>
  <si>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</si>
  <si>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</si>
  <si>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</si>
  <si>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</si>
  <si>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</si>
  <si>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</si>
  <si>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</si>
  <si>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</si>
  <si>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</si>
  <si>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</si>
  <si>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</si>
  <si>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</si>
  <si>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</si>
  <si>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</si>
  <si>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</si>
  <si>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</si>
  <si>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</si>
  <si>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</si>
  <si>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</si>
  <si>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</si>
  <si>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</si>
  <si>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</si>
  <si>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</si>
  <si>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</si>
  <si>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</si>
  <si>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</si>
  <si>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</si>
  <si>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</si>
  <si>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</si>
  <si>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</si>
  <si>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</si>
  <si>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</si>
  <si>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</si>
  <si>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</si>
  <si>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</si>
  <si>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</si>
  <si>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</si>
  <si>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</si>
  <si>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</si>
  <si>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</si>
  <si>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</si>
  <si>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</si>
  <si>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</si>
  <si>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</si>
  <si>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</si>
  <si>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</si>
  <si>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</si>
  <si>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</si>
  <si>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</si>
  <si>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</si>
  <si>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</si>
  <si>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</si>
  <si>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</si>
  <si>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</si>
  <si>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</si>
  <si>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</si>
  <si>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</si>
  <si>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</si>
  <si>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</si>
  <si>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</si>
  <si>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</si>
  <si>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</si>
  <si>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</si>
  <si>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</si>
  <si>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</si>
  <si>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</si>
  <si>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</si>
  <si>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</si>
  <si>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</si>
  <si>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</si>
  <si>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</si>
  <si>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</si>
  <si>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</si>
  <si>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</si>
  <si>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</si>
  <si>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</si>
  <si>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</si>
  <si>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</si>
  <si>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</si>
  <si>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</si>
  <si>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</si>
  <si>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</si>
  <si>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</si>
  <si>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</si>
  <si>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</si>
  <si>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</si>
  <si>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</si>
  <si>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</si>
  <si>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</si>
  <si>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</si>
  <si>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</si>
  <si>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</si>
  <si>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</si>
  <si>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</si>
  <si>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</si>
  <si>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</si>
  <si>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</si>
  <si>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</si>
  <si>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</si>
  <si>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</si>
  <si>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</si>
  <si>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</si>
  <si>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</si>
  <si>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</si>
  <si>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</si>
  <si>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</si>
  <si>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</si>
  <si>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</si>
  <si>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</si>
  <si>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</si>
  <si>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</si>
  <si>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</si>
  <si>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</si>
  <si>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</si>
  <si>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</si>
  <si>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</si>
  <si>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</si>
  <si>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</si>
  <si>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</si>
  <si>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</si>
  <si>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</si>
  <si>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</si>
  <si>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</si>
  <si>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</si>
  <si>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</si>
  <si>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</si>
  <si>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</si>
  <si>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</si>
  <si>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</si>
  <si>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</si>
  <si>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</si>
  <si>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</si>
  <si>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</si>
  <si>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</si>
  <si>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</si>
  <si>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</si>
  <si>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</si>
  <si>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</si>
  <si>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</si>
  <si>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</si>
  <si>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</si>
  <si>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</si>
  <si>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</si>
  <si>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</si>
  <si>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</si>
  <si>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</si>
  <si>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</si>
  <si>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</si>
  <si>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</si>
  <si>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</si>
  <si>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</si>
  <si>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</si>
  <si>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</si>
  <si>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</si>
  <si>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</si>
  <si>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</si>
  <si>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</si>
  <si>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</si>
  <si>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</si>
  <si>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</si>
  <si>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</si>
  <si>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</si>
  <si>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</si>
  <si>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</si>
  <si>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</si>
  <si>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</si>
  <si>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</si>
  <si>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</si>
  <si>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</si>
  <si>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</si>
  <si>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</si>
  <si>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</si>
  <si>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</si>
  <si>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</si>
  <si>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</si>
  <si>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</si>
  <si>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</si>
  <si>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</si>
  <si>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</si>
  <si>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</si>
  <si>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</si>
  <si>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</si>
  <si>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</si>
  <si>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</si>
  <si>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</si>
  <si>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</si>
  <si>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</si>
  <si>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</si>
  <si>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</si>
  <si>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</si>
  <si>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</si>
  <si>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</si>
  <si>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</si>
  <si>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</si>
  <si>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</si>
  <si>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</si>
  <si>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</si>
  <si>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</si>
  <si>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</si>
  <si>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</si>
  <si>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</si>
  <si>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</si>
  <si>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</si>
  <si>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</si>
  <si>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</si>
  <si>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</si>
  <si>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</si>
  <si>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</si>
  <si>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</si>
  <si>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</si>
  <si>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</si>
  <si>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</si>
  <si>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</si>
  <si>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</si>
  <si>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</si>
  <si>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</si>
  <si>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</si>
  <si>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</si>
  <si>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</si>
  <si>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</si>
  <si>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</si>
  <si>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</si>
  <si>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</si>
  <si>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</si>
  <si>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</si>
  <si>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</si>
  <si>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</si>
  <si>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</si>
  <si>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</si>
  <si>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</si>
  <si>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</si>
  <si>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</si>
  <si>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</si>
  <si>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</si>
  <si>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</si>
  <si>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</si>
  <si>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</si>
  <si>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</si>
  <si>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</si>
  <si>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</si>
  <si>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</si>
  <si>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</si>
  <si>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</si>
  <si>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</si>
  <si>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</si>
  <si>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</si>
  <si>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</si>
  <si>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</si>
  <si>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</si>
  <si>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</si>
  <si>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</si>
  <si>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</si>
  <si>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</si>
  <si>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</si>
  <si>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</si>
  <si>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</si>
  <si>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</si>
  <si>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</si>
  <si>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</si>
  <si>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</si>
  <si>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</si>
  <si>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</si>
  <si>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</si>
  <si>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</si>
  <si>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</si>
  <si>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</si>
  <si>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</si>
  <si>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</si>
  <si>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</si>
  <si>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</si>
  <si>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</si>
  <si>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</si>
  <si>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</si>
  <si>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</si>
  <si>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</si>
  <si>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</si>
  <si>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</si>
  <si>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</si>
  <si>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</si>
  <si>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</si>
  <si>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</si>
  <si>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</si>
  <si>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</si>
  <si>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</si>
  <si>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</si>
  <si>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</si>
  <si>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</si>
  <si>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</si>
  <si>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</si>
  <si>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</si>
  <si>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</si>
  <si>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</si>
  <si>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</si>
  <si>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</si>
  <si>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</si>
  <si>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</si>
  <si>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</si>
  <si>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</si>
  <si>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</si>
  <si>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</si>
  <si>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</si>
  <si>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</si>
  <si>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</si>
  <si>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</si>
  <si>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</si>
  <si>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</si>
  <si>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</si>
  <si>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</si>
  <si>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</si>
  <si>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</si>
  <si>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</si>
  <si>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</si>
  <si>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</si>
  <si>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</si>
  <si>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</si>
  <si>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</si>
  <si>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</si>
  <si>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</si>
  <si>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</si>
  <si>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</si>
  <si>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</si>
  <si>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</si>
  <si>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</si>
  <si>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</si>
  <si>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</si>
  <si>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</si>
  <si>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</si>
  <si>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</si>
  <si>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</si>
  <si>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</si>
  <si>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</si>
  <si>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</si>
  <si>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</si>
  <si>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</si>
  <si>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</si>
  <si>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</si>
  <si>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</si>
  <si>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</si>
  <si>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</si>
  <si>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</si>
  <si>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</si>
  <si>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</si>
  <si>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</si>
  <si>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</si>
  <si>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</si>
  <si>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</si>
  <si>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</si>
  <si>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</si>
  <si>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</si>
  <si>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</si>
  <si>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</si>
  <si>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</si>
  <si>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</si>
  <si>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</si>
  <si>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</si>
  <si>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</si>
  <si>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</si>
  <si>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</si>
  <si>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</si>
  <si>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</si>
  <si>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</si>
  <si>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</si>
  <si>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</si>
  <si>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</si>
  <si>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</si>
  <si>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</si>
  <si>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</si>
  <si>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</si>
  <si>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</si>
  <si>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</si>
  <si>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</si>
  <si>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</si>
  <si>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</si>
  <si>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</si>
  <si>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</si>
  <si>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</si>
  <si>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</si>
  <si>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</si>
  <si>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</si>
  <si>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</si>
  <si>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</si>
  <si>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</si>
  <si>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</si>
  <si>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</si>
  <si>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</si>
  <si>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</si>
  <si>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</si>
  <si>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</si>
  <si>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</si>
  <si>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</si>
  <si>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</si>
  <si>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</si>
  <si>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</si>
  <si>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</si>
  <si>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</si>
  <si>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</si>
  <si>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</si>
  <si>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</si>
  <si>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</si>
  <si>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</si>
  <si>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</si>
  <si>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</si>
  <si>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</si>
  <si>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</si>
  <si>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</si>
  <si>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</si>
  <si>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</si>
  <si>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</si>
  <si>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</si>
  <si>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</si>
  <si>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</si>
  <si>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</si>
  <si>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</si>
  <si>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</si>
  <si>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</si>
  <si>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</si>
  <si>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</si>
  <si>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</si>
  <si>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</si>
  <si>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</si>
  <si>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</si>
  <si>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</si>
  <si>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</si>
  <si>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</si>
  <si>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</si>
  <si>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</si>
  <si>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</si>
  <si>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</si>
  <si>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</si>
  <si>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</si>
  <si>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</si>
  <si>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</si>
  <si>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</si>
  <si>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</si>
  <si>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</si>
  <si>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</si>
  <si>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</si>
  <si>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</si>
  <si>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</si>
  <si>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</si>
  <si>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</si>
  <si>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</si>
  <si>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</si>
  <si>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</si>
  <si>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</si>
  <si>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</si>
  <si>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</si>
  <si>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</si>
  <si>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</si>
  <si>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</si>
  <si>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</si>
  <si>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</si>
  <si>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</si>
  <si>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</si>
  <si>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</si>
  <si>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</si>
  <si>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</si>
  <si>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</si>
  <si>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</si>
  <si>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</si>
  <si>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</si>
  <si>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</si>
  <si>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</si>
  <si>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</si>
  <si>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</si>
  <si>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</si>
  <si>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</si>
  <si>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</si>
  <si>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</si>
  <si>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</si>
  <si>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</si>
  <si>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</si>
  <si>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</si>
  <si>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</si>
  <si>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</si>
  <si>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</si>
  <si>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</si>
  <si>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</si>
  <si>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</si>
  <si>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</si>
  <si>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</si>
  <si>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</si>
  <si>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</si>
  <si>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</si>
  <si>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</si>
  <si>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</si>
  <si>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</si>
  <si>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</si>
  <si>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</si>
  <si>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</si>
  <si>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</si>
  <si>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</si>
  <si>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</si>
  <si>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</si>
  <si>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</si>
  <si>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</si>
  <si>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</si>
  <si>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</si>
  <si>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</si>
  <si>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</si>
  <si>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</si>
  <si>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</si>
  <si>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</si>
  <si>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</si>
  <si>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</si>
  <si>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</si>
  <si>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</si>
  <si>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</si>
  <si>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</si>
  <si>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</si>
  <si>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</si>
  <si>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</si>
  <si>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</si>
  <si>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</si>
  <si>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</si>
  <si>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</si>
  <si>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</si>
  <si>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</si>
  <si>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</si>
  <si>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</si>
  <si>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</si>
  <si>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</si>
  <si>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</si>
  <si>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</si>
  <si>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</si>
  <si>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</si>
  <si>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</si>
  <si>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</si>
  <si>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</si>
  <si>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</si>
  <si>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</si>
  <si>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</si>
  <si>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</si>
  <si>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</si>
  <si>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</si>
  <si>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</si>
  <si>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</si>
  <si>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</si>
  <si>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</si>
  <si>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</si>
  <si>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</si>
  <si>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</si>
  <si>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</si>
  <si>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</si>
  <si>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</si>
  <si>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</si>
  <si>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</si>
  <si>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</si>
  <si>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</si>
  <si>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</si>
  <si>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</si>
  <si>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</si>
  <si>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</si>
  <si>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</si>
  <si>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</si>
  <si>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</si>
  <si>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</si>
  <si>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</si>
  <si>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</si>
  <si>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</si>
  <si>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</si>
  <si>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</si>
  <si>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</si>
  <si>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</si>
  <si>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</si>
  <si>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</si>
  <si>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</si>
  <si>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</si>
  <si>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</si>
  <si>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</si>
  <si>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</si>
  <si>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</si>
  <si>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</si>
  <si>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</si>
  <si>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</si>
  <si>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</si>
  <si>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</si>
  <si>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</si>
  <si>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</si>
  <si>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</si>
  <si>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</si>
  <si>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</si>
  <si>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</si>
  <si>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</si>
  <si>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</si>
  <si>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</si>
  <si>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</si>
  <si>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</si>
  <si>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</si>
  <si>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</si>
  <si>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</si>
  <si>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</si>
  <si>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</si>
  <si>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</si>
  <si>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</si>
  <si>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</si>
  <si>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</si>
  <si>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</si>
  <si>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</si>
  <si>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</si>
  <si>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</si>
  <si>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</si>
  <si>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</si>
  <si>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</si>
  <si>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</si>
  <si>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</si>
  <si>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</si>
  <si>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</si>
  <si>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</si>
  <si>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</si>
  <si>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</si>
  <si>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</si>
  <si>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</si>
  <si>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</si>
  <si>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</si>
  <si>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</si>
  <si>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</si>
  <si>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</si>
  <si>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</si>
  <si>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</si>
  <si>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</si>
  <si>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</si>
  <si>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</si>
  <si>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</si>
  <si>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</si>
  <si>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</si>
  <si>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</si>
  <si>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</si>
  <si>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</si>
  <si>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</si>
  <si>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</si>
  <si>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</si>
  <si>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</si>
  <si>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</si>
  <si>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</si>
  <si>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</si>
  <si>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</si>
  <si>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</si>
  <si>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</si>
  <si>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</si>
  <si>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</si>
  <si>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</si>
  <si>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</si>
  <si>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</si>
  <si>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</si>
  <si>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</si>
  <si>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</si>
  <si>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</si>
  <si>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</si>
  <si>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</si>
  <si>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</si>
  <si>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</si>
  <si>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</si>
  <si>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</si>
  <si>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</si>
  <si>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</si>
  <si>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</si>
  <si>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</si>
  <si>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</si>
  <si>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</si>
  <si>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</si>
  <si>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</si>
  <si>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</si>
  <si>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</si>
  <si>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</si>
  <si>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</si>
  <si>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</si>
  <si>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</si>
  <si>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</si>
  <si>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</si>
  <si>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</si>
  <si>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</si>
  <si>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</si>
  <si>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</si>
  <si>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</si>
  <si>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</si>
  <si>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</si>
  <si>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</si>
  <si>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</si>
  <si>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</si>
  <si>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</si>
  <si>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</si>
  <si>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</si>
  <si>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</si>
  <si>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</si>
  <si>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</si>
  <si>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</si>
  <si>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</si>
  <si>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</si>
  <si>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</si>
  <si>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</si>
  <si>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</si>
  <si>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</si>
  <si>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</si>
  <si>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</si>
  <si>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</si>
  <si>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</si>
  <si>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</si>
  <si>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</si>
  <si>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</si>
  <si>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</si>
  <si>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</si>
  <si>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</si>
  <si>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</si>
  <si>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</si>
  <si>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</si>
  <si>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</si>
  <si>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</si>
  <si>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</si>
  <si>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</si>
  <si>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</si>
  <si>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</si>
  <si>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</si>
  <si>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</si>
  <si>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</si>
  <si>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</si>
  <si>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</si>
  <si>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</si>
  <si>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</si>
  <si>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</si>
  <si>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</si>
  <si>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</si>
  <si>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</si>
  <si>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</si>
  <si>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</si>
  <si>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</si>
  <si>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</si>
  <si>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</si>
  <si>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</si>
  <si>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</si>
  <si>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</si>
  <si>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</si>
  <si>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</si>
  <si>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</si>
  <si>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</si>
  <si>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</si>
  <si>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</si>
  <si>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</si>
  <si>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</si>
  <si>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</si>
  <si>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</si>
  <si>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</si>
  <si>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</si>
  <si>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</si>
  <si>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</si>
  <si>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</si>
  <si>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</si>
  <si>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</si>
  <si>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</si>
  <si>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</si>
  <si>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</si>
  <si>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</si>
  <si>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</si>
  <si>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</si>
  <si>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</si>
  <si>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</si>
  <si>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</si>
  <si>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</si>
  <si>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</si>
  <si>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</si>
  <si>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</si>
  <si>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</si>
  <si>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</si>
  <si>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</si>
  <si>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</si>
  <si>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</si>
  <si>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</si>
  <si>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</si>
  <si>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</si>
  <si>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</si>
  <si>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</si>
  <si>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</si>
  <si>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</si>
  <si>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</si>
  <si>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</si>
  <si>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</si>
  <si>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</si>
  <si>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</si>
  <si>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</si>
  <si>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</si>
  <si>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</si>
  <si>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Profit %</t>
  </si>
  <si>
    <t>Sales Category</t>
  </si>
  <si>
    <t>Month</t>
  </si>
  <si>
    <t>June</t>
  </si>
  <si>
    <t>July</t>
  </si>
  <si>
    <t>Year</t>
  </si>
  <si>
    <t>Grand Total</t>
  </si>
  <si>
    <t>Sum of Sales_Amount</t>
  </si>
  <si>
    <t>Sum of Profit</t>
  </si>
  <si>
    <t>January</t>
  </si>
  <si>
    <t>February</t>
  </si>
  <si>
    <t>March</t>
  </si>
  <si>
    <t>April</t>
  </si>
  <si>
    <t>May</t>
  </si>
  <si>
    <t>August</t>
  </si>
  <si>
    <t>September</t>
  </si>
  <si>
    <t>October</t>
  </si>
  <si>
    <t>November</t>
  </si>
  <si>
    <t>December</t>
  </si>
  <si>
    <t>Region-wise Sales</t>
  </si>
  <si>
    <t>Salesperson Performance</t>
  </si>
  <si>
    <t>Monthly Sales Trend</t>
  </si>
  <si>
    <t>Product-wise Profit</t>
  </si>
  <si>
    <t xml:space="preserve">                                                     BUSINESS SALES ANALYSIS</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</si>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</sst>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14009]dd\ mmmm\ yyyy;@"/>
    <numFmt numFmtId="166" formatCode="&quot;₹&quot;\ #,##0.00"/>
  </numFmts>
  <fonts count="2" x14ac:knownFonts="1">
    <font>
      <sz val="11"/>
      <color theme="1"/>
      <name val="Calibri"/>
      <family val="2"/>
      <scheme val="minor"/>
    </font>
    <font>
      <sz val="24"/>
      <color theme="5" tint="-0.249977111117893"/>
      <name val="Arial Black"/>
      <family val="2"/>
    </font>
  </fonts>
  <fills count="14">
    <fill>
      <patternFill patternType="none"/>
    </fill>
    <fill>
      <patternFill patternType="gray125"/>
    </fill>
    <fill>
      <patternFill patternType="solid">
        <fgColor theme="3" tint="0.3999755851924192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34">
    <xf numFmtId="0" fontId="0" fillId="0" borderId="0" xfId="0"/>
    <xf numFmtId="164" fontId="0" fillId="0" borderId="0" xfId="0" applyNumberFormat="1"/>
    <xf numFmtId="165" fontId="0" fillId="0" borderId="0" xfId="0" applyNumberFormat="1"/>
    <xf numFmtId="2" fontId="0" fillId="0" borderId="0" xfId="0" applyNumberFormat="1"/>
    <xf numFmtId="166" fontId="0" fillId="0" borderId="0" xfId="0" applyNumberFormat="1"/>
    <xf numFmtId="0" fontId="0" fillId="2" borderId="0" xfId="0" applyFill="1"/>
    <xf numFmtId="0" fontId="0" fillId="2" borderId="0" xfId="0" applyFill="1" applyAlignment="1">
      <alignment horizontal="left"/>
    </xf>
    <xf numFmtId="166" fontId="0" fillId="2" borderId="0" xfId="0" applyNumberFormat="1" applyFill="1"/>
    <xf numFmtId="0" fontId="0" fillId="3" borderId="0" xfId="0" applyFill="1" applyAlignment="1">
      <alignment horizontal="left"/>
    </xf>
    <xf numFmtId="166" fontId="0" fillId="3" borderId="0" xfId="0" applyNumberFormat="1" applyFill="1"/>
    <xf numFmtId="0" fontId="0" fillId="4" borderId="0" xfId="0" applyFill="1"/>
    <xf numFmtId="0" fontId="0" fillId="4" borderId="0" xfId="0" applyFill="1" applyAlignment="1">
      <alignment horizontal="left"/>
    </xf>
    <xf numFmtId="166" fontId="0" fillId="4" borderId="0" xfId="0" applyNumberFormat="1" applyFill="1"/>
    <xf numFmtId="0" fontId="0" fillId="5" borderId="0" xfId="0" applyFill="1" applyAlignment="1">
      <alignment horizontal="left"/>
    </xf>
    <xf numFmtId="166" fontId="0" fillId="5" borderId="0" xfId="0" applyNumberFormat="1" applyFill="1"/>
    <xf numFmtId="0" fontId="0" fillId="6" borderId="0" xfId="0" applyFill="1"/>
    <xf numFmtId="0" fontId="0" fillId="8" borderId="0" xfId="0" applyFill="1"/>
    <xf numFmtId="0" fontId="0" fillId="9" borderId="0" xfId="0" applyFill="1"/>
    <xf numFmtId="0" fontId="0" fillId="9" borderId="0" xfId="0" applyFill="1" applyAlignment="1">
      <alignment horizontal="left"/>
    </xf>
    <xf numFmtId="166" fontId="0" fillId="9" borderId="0" xfId="0" applyNumberFormat="1" applyFill="1"/>
    <xf numFmtId="0" fontId="0" fillId="10" borderId="0" xfId="0" applyFill="1" applyAlignment="1">
      <alignment horizontal="left"/>
    </xf>
    <xf numFmtId="166" fontId="0" fillId="10" borderId="0" xfId="0" applyNumberFormat="1" applyFill="1"/>
    <xf numFmtId="0" fontId="0" fillId="8" borderId="0" xfId="0" applyFill="1" applyAlignment="1">
      <alignment horizontal="left"/>
    </xf>
    <xf numFmtId="166" fontId="0" fillId="8" borderId="0" xfId="0" applyNumberFormat="1" applyFill="1"/>
    <xf numFmtId="0" fontId="0" fillId="7" borderId="0" xfId="0" applyFill="1" applyAlignment="1">
      <alignment horizontal="left"/>
    </xf>
    <xf numFmtId="166" fontId="0" fillId="7" borderId="0" xfId="0" applyNumberFormat="1" applyFill="1"/>
    <xf numFmtId="0" fontId="0" fillId="11" borderId="0" xfId="0" applyFill="1"/>
    <xf numFmtId="0" fontId="0" fillId="11" borderId="0" xfId="0" applyFill="1" applyAlignment="1">
      <alignment wrapText="1"/>
    </xf>
    <xf numFmtId="0" fontId="0" fillId="12" borderId="0" xfId="0" applyFill="1"/>
    <xf numFmtId="0" fontId="0" fillId="12" borderId="0" xfId="0" applyFill="1" applyAlignment="1">
      <alignment horizontal="left"/>
    </xf>
    <xf numFmtId="166" fontId="0" fillId="12" borderId="0" xfId="0" applyNumberFormat="1" applyFill="1"/>
    <xf numFmtId="0" fontId="0" fillId="13" borderId="0" xfId="0" applyFill="1" applyAlignment="1">
      <alignment horizontal="left"/>
    </xf>
    <xf numFmtId="166" fontId="0" fillId="13" borderId="0" xfId="0" applyNumberFormat="1" applyFill="1"/>
    <xf numFmtId="0" fontId="1" fillId="11" borderId="0" xfId="0" applyFont="1" applyFill="1" applyAlignment="1">
      <alignment horizontal="left" vertical="center" wrapText="1"/>
    </xf>
  </cellXfs>
  <cellStyles count="1">
    <cellStyle name="Normal" xfId="0" builtinId="0"/>
  </cellStyles>
  <dxfs count="76">
    <dxf>
      <font>
        <color rgb="FF9C0006"/>
      </font>
      <fill>
        <patternFill>
          <bgColor rgb="FFFFC7CE"/>
        </patternFill>
      </fill>
    </dxf>
    <dxf>
      <fill>
        <patternFill>
          <bgColor theme="3" tint="0.79998168889431442"/>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2" tint="-0.249977111117893"/>
        </patternFill>
      </fill>
    </dxf>
    <dxf>
      <fill>
        <patternFill>
          <bgColor theme="2" tint="-0.249977111117893"/>
        </patternFill>
      </fill>
    </dxf>
    <dxf>
      <fill>
        <patternFill>
          <bgColor theme="2" tint="-0.249977111117893"/>
        </patternFill>
      </fill>
    </dxf>
    <dxf>
      <fill>
        <patternFill patternType="solid">
          <bgColor theme="7" tint="0.79998168889431442"/>
        </patternFill>
      </fill>
    </dxf>
    <dxf>
      <fill>
        <patternFill patternType="solid">
          <bgColor theme="7" tint="0.79998168889431442"/>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7" tint="0.79998168889431442"/>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2" tint="-0.249977111117893"/>
        </patternFill>
      </fill>
    </dxf>
    <dxf>
      <fill>
        <patternFill>
          <bgColor theme="2" tint="-0.249977111117893"/>
        </patternFill>
      </fill>
    </dxf>
    <dxf>
      <fill>
        <patternFill>
          <bgColor theme="2" tint="-0.249977111117893"/>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bgColor theme="6" tint="0.59999389629810485"/>
        </patternFill>
      </fill>
    </dxf>
    <dxf>
      <fill>
        <patternFill>
          <bgColor theme="6" tint="-0.249977111117893"/>
        </patternFill>
      </fill>
    </dxf>
    <dxf>
      <fill>
        <patternFill>
          <bgColor theme="6" tint="-0.249977111117893"/>
        </patternFill>
      </fill>
    </dxf>
    <dxf>
      <fill>
        <patternFill>
          <bgColor theme="6" tint="-0.249977111117893"/>
        </patternFill>
      </fill>
    </dxf>
    <dxf>
      <fill>
        <patternFill>
          <bgColor theme="6" tint="-0.249977111117893"/>
        </patternFill>
      </fill>
    </dxf>
    <dxf>
      <fill>
        <patternFill>
          <bgColor theme="2" tint="-0.249977111117893"/>
        </patternFill>
      </fill>
    </dxf>
    <dxf>
      <fill>
        <patternFill>
          <bgColor theme="2" tint="-0.249977111117893"/>
        </patternFill>
      </fill>
    </dxf>
    <dxf>
      <fill>
        <patternFill patternType="solid">
          <bgColor theme="3" tint="0.59999389629810485"/>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8" tint="0.79998168889431442"/>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9" tint="0.59999389629810485"/>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2" tint="-0.249977111117893"/>
        </patternFill>
      </fill>
    </dxf>
    <dxf>
      <fill>
        <patternFill>
          <bgColor theme="2" tint="-0.249977111117893"/>
        </patternFill>
      </fill>
    </dxf>
    <dxf>
      <fill>
        <patternFill>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numFmt numFmtId="0" formatCode="General"/>
    </dxf>
    <dxf>
      <numFmt numFmtId="0" formatCode="General"/>
    </dxf>
    <dxf>
      <numFmt numFmtId="0" formatCode="General"/>
    </dxf>
    <dxf>
      <numFmt numFmtId="0" formatCode="General"/>
    </dxf>
    <dxf>
      <numFmt numFmtId="166" formatCode="&quot;₹&quot;\ #,##0.00"/>
    </dxf>
    <dxf>
      <numFmt numFmtId="166" formatCode="&quot;₹&quot;\ #,##0.00"/>
    </dxf>
    <dxf>
      <numFmt numFmtId="2" formatCode="0.00"/>
    </dxf>
    <dxf>
      <numFmt numFmtId="2" formatCode="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2" formatCode="0.00"/>
    </dxf>
    <dxf>
      <numFmt numFmtId="2" formatCode="0.00"/>
    </dxf>
    <dxf>
      <numFmt numFmtId="164" formatCode="[$-F800]dddd\,\ mmmm\ dd\,\ yyyy"/>
    </dxf>
    <dxf>
      <numFmt numFmtId="164" formatCode="[$-F800]dddd\,\ mmmm\ dd\,\ yyyy"/>
    </dxf>
    <dxf>
      <numFmt numFmtId="166" formatCode="&quot;₹&quot;\ #,##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[Sales_Dashboard.xlsx]Pivot_Table!PivotTable1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Pivot_Table!$B$3</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Pivot_Table!$A$4:$A$8</c:f>
              <c:strCache>
                <c:ptCount val="4"/>
                <c:pt idx="0">
                  <c:v>East</c:v>
                </c:pt>
                <c:pt idx="1">
                  <c:v>North</c:v>
                </c:pt>
                <c:pt idx="2">
                  <c:v>South</c:v>
                </c:pt>
                <c:pt idx="3">
                  <c:v>West</c:v>
                </c:pt>
              </c:strCache>
            </c:strRef>
          </c:cat>
          <c:val>
            <c:numRef>
              <c:f>Pivot_Table!$B$4:$B$8</c:f>
              <c:numCache>
                <c:formatCode>"₹"\ #,##0.00</c:formatCode>
                <c:ptCount val="4"/>
                <c:pt idx="0">
                  <c:v>32464283</c:v>
                </c:pt>
                <c:pt idx="1">
                  <c:v>31705369</c:v>
                </c:pt>
                <c:pt idx="2">
                  <c:v>38586425</c:v>
                </c:pt>
                <c:pt idx="3">
                  <c:v>35704391</c:v>
                </c:pt>
              </c:numCache>
            </c:numRef>
          </c:val>
          <c:extLst>
            <c:ext xmlns:c16="http://schemas.microsoft.com/office/drawing/2014/chart" uri="{C3380CC4-5D6E-409C-BE32-E72D297353CC}">
              <c16:uniqueId val="{00000000-EC09-47C6-9877-D5E657E16F82}"/>
            </c:ext>
          </c:extLst>
        </c:ser>
        <c:dLbls>
          <c:dLblPos val="outEnd"/>
          <c:showLegendKey val="0"/>
          <c:showVal val="1"/>
          <c:showCatName val="0"/>
          <c:showSerName val="0"/>
          <c:showPercent val="0"/>
          <c:showBubbleSize val="0"/>
        </c:dLbls>
        <c:gapWidth val="247"/>
        <c:axId val="878274992"/>
        <c:axId val="878277392"/>
      </c:barChart>
      <c:catAx>
        <c:axId val="878274992"/>
        <c:scaling>
          <c:orientation val="minMax"/>
        </c:scaling>
        <c:delete val="1"/>
        <c:axPos val="l"/>
        <c:numFmt formatCode="General" sourceLinked="1"/>
        <c:majorTickMark val="out"/>
        <c:minorTickMark val="none"/>
        <c:tickLblPos val="nextTo"/>
        <c:crossAx val="878277392"/>
        <c:crosses val="autoZero"/>
        <c:auto val="1"/>
        <c:lblAlgn val="ctr"/>
        <c:lblOffset val="100"/>
        <c:noMultiLvlLbl val="0"/>
      </c:catAx>
      <c:valAx>
        <c:axId val="878277392"/>
        <c:scaling>
          <c:orientation val="minMax"/>
        </c:scaling>
        <c:delete val="1"/>
        <c:axPos val="b"/>
        <c:majorGridlines>
          <c:spPr>
            <a:ln w="9525" cap="flat" cmpd="sng" algn="ctr">
              <a:solidFill>
                <a:schemeClr val="dk1">
                  <a:lumMod val="15000"/>
                  <a:lumOff val="85000"/>
                </a:schemeClr>
              </a:solidFill>
              <a:round/>
            </a:ln>
            <a:effectLst/>
          </c:spPr>
        </c:majorGridlines>
        <c:numFmt formatCode="&quot;₹&quot;\ #,##0.00" sourceLinked="1"/>
        <c:majorTickMark val="none"/>
        <c:minorTickMark val="none"/>
        <c:tickLblPos val="nextTo"/>
        <c:crossAx val="878274992"/>
        <c:crosses val="autoZero"/>
        <c:crossBetween val="between"/>
      </c:valAx>
      <c:spPr>
        <a:solidFill>
          <a:schemeClr val="accent2">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4">
                <a:lumMod val="75000"/>
              </a:schemeClr>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Pivot_Table!$K$3</c:f>
              <c:strCache>
                <c:ptCount val="1"/>
                <c:pt idx="0">
                  <c:v>Total</c:v>
                </c:pt>
              </c:strCache>
            </c:strRef>
          </c:tx>
          <c:spPr>
            <a:ln w="22225" cap="rnd" cmpd="sng" algn="ctr">
              <a:solidFill>
                <a:schemeClr val="accent1"/>
              </a:solidFill>
              <a:round/>
            </a:ln>
            <a:effectLst/>
          </c:spPr>
          <c:marker>
            <c:symbol val="circle"/>
            <c:size val="4"/>
            <c:spPr>
              <a:solidFill>
                <a:schemeClr val="accent4">
                  <a:lumMod val="75000"/>
                </a:schemeClr>
              </a:solidFill>
              <a:ln w="9525" cap="flat" cmpd="sng" algn="ctr">
                <a:solidFill>
                  <a:schemeClr val="accent1"/>
                </a:solidFill>
                <a:round/>
              </a:ln>
              <a:effectLst/>
            </c:spPr>
          </c:marker>
          <c:cat>
            <c:strRef>
              <c:f>Pivot_Table!$J$4:$J$16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Pivot_Table!$K$4:$K$16</c:f>
              <c:numCache>
                <c:formatCode>"₹"\ #,##0.00</c:formatCode>
                <c:ptCount val="12"/>
                <c:pt idx="0">
                  <c:v>12661035</c:v>
                </c:pt>
                <c:pt idx="1">
                  <c:v>12872119</c:v>
                </c:pt>
                <c:pt idx="2">
                  <c:v>10098186</c:v>
                </c:pt>
                <c:pt idx="3">
                  <c:v>8843346</c:v>
                </c:pt>
                <c:pt idx="4">
                  <c:v>7576023</c:v>
                </c:pt>
                <c:pt idx="5">
                  <c:v>10881997</c:v>
                </c:pt>
                <c:pt idx="6">
                  <c:v>11005366</c:v>
                </c:pt>
                <c:pt idx="7">
                  <c:v>12192419</c:v>
                </c:pt>
                <c:pt idx="8">
                  <c:v>13500904</c:v>
                </c:pt>
                <c:pt idx="9">
                  <c:v>13088953</c:v>
                </c:pt>
                <c:pt idx="10">
                  <c:v>13154102</c:v>
                </c:pt>
                <c:pt idx="11">
                  <c:v>12586018</c:v>
                </c:pt>
              </c:numCache>
            </c:numRef>
          </c:val>
          <c:smooth val="0"/>
          <c:extLst>
            <c:ext xmlns:c16="http://schemas.microsoft.com/office/drawing/2014/chart" uri="{C3380CC4-5D6E-409C-BE32-E72D297353CC}">
              <c16:uniqueId val="{00000000-B453-464B-B4E8-B9CD8AF5237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878297072"/>
        <c:axId val="878289872"/>
      </c:lineChart>
      <c:catAx>
        <c:axId val="87829707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78289872"/>
        <c:crosses val="autoZero"/>
        <c:auto val="1"/>
        <c:lblAlgn val="ctr"/>
        <c:lblOffset val="100"/>
        <c:noMultiLvlLbl val="0"/>
      </c:catAx>
      <c:valAx>
        <c:axId val="878289872"/>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78297072"/>
        <c:crosses val="autoZero"/>
        <c:crossBetween val="between"/>
      </c:valAx>
      <c:spPr>
        <a:solidFill>
          <a:srgbClr val="FFC00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Pivot_Table!$E$3</c:f>
              <c:strCache>
                <c:ptCount val="1"/>
                <c:pt idx="0">
                  <c:v>Total</c:v>
                </c:pt>
              </c:strCache>
            </c:strRef>
          </c:tx>
          <c:spPr>
            <a:solidFill>
              <a:srgbClr val="FFC000"/>
            </a:soli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Pivot_Table!$D$4:$D$10</c:f>
              <c:strCache>
                <c:ptCount val="6"/>
                <c:pt idx="0">
                  <c:v>Headphones</c:v>
                </c:pt>
                <c:pt idx="1">
                  <c:v>Keyboard</c:v>
                </c:pt>
                <c:pt idx="2">
                  <c:v>Laptop</c:v>
                </c:pt>
                <c:pt idx="3">
                  <c:v>Monitor</c:v>
                </c:pt>
                <c:pt idx="4">
                  <c:v>Mouse</c:v>
                </c:pt>
                <c:pt idx="5">
                  <c:v>Printer</c:v>
                </c:pt>
              </c:strCache>
            </c:strRef>
          </c:cat>
          <c:val>
            <c:numRef>
              <c:f>Pivot_Table!$E$4:$E$10</c:f>
              <c:numCache>
                <c:formatCode>"₹"\ #,##0.00</c:formatCode>
                <c:ptCount val="6"/>
                <c:pt idx="0">
                  <c:v>5819299.209999999</c:v>
                </c:pt>
                <c:pt idx="1">
                  <c:v>7836391.599999994</c:v>
                </c:pt>
                <c:pt idx="2">
                  <c:v>5076513.3099999996</c:v>
                </c:pt>
                <c:pt idx="3">
                  <c:v>5777712.3299999991</c:v>
                </c:pt>
                <c:pt idx="4">
                  <c:v>5123946.0299999965</c:v>
                </c:pt>
                <c:pt idx="5">
                  <c:v>5027946.6999999993</c:v>
                </c:pt>
              </c:numCache>
            </c:numRef>
          </c:val>
          <c:extLst>
            <c:ext xmlns:c16="http://schemas.microsoft.com/office/drawing/2014/chart" uri="{C3380CC4-5D6E-409C-BE32-E72D297353CC}">
              <c16:uniqueId val="{00000000-1D43-4C4A-9B9C-E0B340FFFB3C}"/>
            </c:ext>
          </c:extLst>
        </c:ser>
        <c:dLbls>
          <c:showLegendKey val="0"/>
          <c:showVal val="0"/>
          <c:showCatName val="0"/>
          <c:showSerName val="0"/>
          <c:showPercent val="0"/>
          <c:showBubbleSize val="0"/>
        </c:dLbls>
        <c:gapWidth val="100"/>
        <c:overlap val="-24"/>
        <c:axId val="878298992"/>
        <c:axId val="878294672"/>
      </c:barChart>
      <c:catAx>
        <c:axId val="87829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78294672"/>
        <c:crosses val="autoZero"/>
        <c:auto val="1"/>
        <c:lblAlgn val="ctr"/>
        <c:lblOffset val="100"/>
        <c:noMultiLvlLbl val="0"/>
      </c:catAx>
      <c:valAx>
        <c:axId val="8782946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7829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[Sales_Dashboard.xlsx]Pivot_Table!PivotTable5</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Pivot_Table!$N$3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DF0-4167-B258-B71F9DA8D36A}"/>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DF0-4167-B258-B71F9DA8D36A}"/>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DF0-4167-B258-B71F9DA8D36A}"/>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EDF0-4167-B258-B71F9DA8D36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Pivot_Table!$M$4:$M$8</c:f>
              <c:strCache>
                <c:ptCount val="4"/>
                <c:pt idx="0">
                  <c:v>Card</c:v>
                </c:pt>
                <c:pt idx="1">
                  <c:v>Cash</c:v>
                </c:pt>
                <c:pt idx="2">
                  <c:v>Net Banking</c:v>
                </c:pt>
                <c:pt idx="3">
                  <c:v>UPI</c:v>
                </c:pt>
              </c:strCache>
            </c:strRef>
          </c:cat>
          <c:val>
            <c:numRef>
              <c:f>Pivot_Table!$N$4:$N$8</c:f>
              <c:numCache>
                <c:formatCode>"₹"\ #,##0.00</c:formatCode>
                <c:ptCount val="4"/>
                <c:pt idx="0">
                  <c:v>31621689</c:v>
                </c:pt>
                <c:pt idx="1">
                  <c:v>35742487</c:v>
                </c:pt>
                <c:pt idx="2">
                  <c:v>39290169</c:v>
                </c:pt>
                <c:pt idx="3">
                  <c:v>31806123</c:v>
                </c:pt>
              </c:numCache>
            </c:numRef>
          </c:val>
          <c:extLst>
            <c:ext xmlns:c16="http://schemas.microsoft.com/office/drawing/2014/chart" uri="{C3380CC4-5D6E-409C-BE32-E72D297353CC}">
              <c16:uniqueId val="{00000008-EDF0-4167-B258-B71F9DA8D36A}"/>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249491</xdr:colOff>
      <xdr:row>16</xdr:row>
      <xdr:rowOff>175262</xdr:rowOff>
    </xdr:from>
    <xdr:to>
      <xdr:col>6</xdr:col>
      <xdr:colOff>562165</xdr:colOff>
      <xdr:row>27</xdr:row>
      <xdr:rowOff>177487</xdr:rowOff>
    </xdr:to>
    <xdr:graphicFrame macro="">
      <xdr:nvGraphicFramePr>
        <xdr:cNvPr id="6" name="Chart 5">
          <a:extLst>
            <a:ext uri="{FF2B5EF4-FFF2-40B4-BE49-F238E27FC236}">
              <a16:creationId xmlns:a16="http://schemas.microsoft.com/office/drawing/2014/main" id="{9442C895-CF05-4989-BB0E-9FB979FA06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347352</xdr:colOff>
      <xdr:row>4</xdr:row>
      <xdr:rowOff>62842</xdr:rowOff>
    </xdr:from>
    <xdr:to>
      <xdr:col>21</xdr:col>
      <xdr:colOff>52139</xdr:colOff>
      <xdr:row>15</xdr:row>
      <xdr:rowOff>65067</xdr:rowOff>
    </xdr:to>
    <xdr:graphicFrame macro="">
      <xdr:nvGraphicFramePr>
        <xdr:cNvPr id="7" name="Chart 6">
          <a:extLst>
            <a:ext uri="{FF2B5EF4-FFF2-40B4-BE49-F238E27FC236}">
              <a16:creationId xmlns:a16="http://schemas.microsoft.com/office/drawing/2014/main" id="{3FF88390-D655-4014-9E53-951F00E02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293242</xdr:colOff>
      <xdr:row>4</xdr:row>
      <xdr:rowOff>60959</xdr:rowOff>
    </xdr:from>
    <xdr:to>
      <xdr:col>13</xdr:col>
      <xdr:colOff>605916</xdr:colOff>
      <xdr:row>15</xdr:row>
      <xdr:rowOff>63184</xdr:rowOff>
    </xdr:to>
    <xdr:graphicFrame macro="">
      <xdr:nvGraphicFramePr>
        <xdr:cNvPr id="8" name="Chart 7">
          <a:extLst>
            <a:ext uri="{FF2B5EF4-FFF2-40B4-BE49-F238E27FC236}">
              <a16:creationId xmlns:a16="http://schemas.microsoft.com/office/drawing/2014/main" id="{3C772735-7D6B-4DC3-95E4-D88F3DA7C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259079</xdr:colOff>
      <xdr:row>4</xdr:row>
      <xdr:rowOff>54368</xdr:rowOff>
    </xdr:from>
    <xdr:to>
      <xdr:col>3</xdr:col>
      <xdr:colOff>235416</xdr:colOff>
      <xdr:row>15</xdr:row>
      <xdr:rowOff>56593</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FD0B87D1-389F-42F3-A4C1-2409D8919B9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59079" y="833492"/>
              <a:ext cx="1800000" cy="19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586739</xdr:colOff>
      <xdr:row>4</xdr:row>
      <xdr:rowOff>54368</xdr:rowOff>
    </xdr:from>
    <xdr:to>
      <xdr:col>6</xdr:col>
      <xdr:colOff>563076</xdr:colOff>
      <xdr:row>15</xdr:row>
      <xdr:rowOff>56593</xdr:rowOff>
    </xdr:to>
    <mc:AlternateContent xmlns:mc="http://schemas.openxmlformats.org/markup-compatibility/2006" xmlns:a14="http://schemas.microsoft.com/office/drawing/2010/main">
      <mc:Choice Requires="a14">
        <xdr:graphicFrame macro="">
          <xdr:nvGraphicFramePr>
            <xdr:cNvPr id="15" name="Payment_Mode">
              <a:extLst>
                <a:ext uri="{FF2B5EF4-FFF2-40B4-BE49-F238E27FC236}">
                  <a16:creationId xmlns:a16="http://schemas.microsoft.com/office/drawing/2014/main" id="{38B39D79-2EBE-4090-9318-9B31B8EA2347}"/>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2410402" y="833492"/>
              <a:ext cx="1800000" cy="19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28596</xdr:colOff>
      <xdr:row>16</xdr:row>
      <xdr:rowOff>167640</xdr:rowOff>
    </xdr:from>
    <xdr:to>
      <xdr:col>14</xdr:col>
      <xdr:colOff>4933</xdr:colOff>
      <xdr:row>27</xdr:row>
      <xdr:rowOff>169865</xdr:rowOff>
    </xdr:to>
    <mc:AlternateContent xmlns:mc="http://schemas.openxmlformats.org/markup-compatibility/2006" xmlns:a14="http://schemas.microsoft.com/office/drawing/2010/main">
      <mc:Choice Requires="a14">
        <xdr:graphicFrame macro="">
          <xdr:nvGraphicFramePr>
            <xdr:cNvPr id="16" name="Salesperson">
              <a:extLst>
                <a:ext uri="{FF2B5EF4-FFF2-40B4-BE49-F238E27FC236}">
                  <a16:creationId xmlns:a16="http://schemas.microsoft.com/office/drawing/2014/main" id="{235C210F-FB07-4D21-91ED-FE0557050BEC}"/>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6715360" y="3104337"/>
              <a:ext cx="1800000" cy="19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292470</xdr:colOff>
      <xdr:row>16</xdr:row>
      <xdr:rowOff>171236</xdr:rowOff>
    </xdr:from>
    <xdr:to>
      <xdr:col>10</xdr:col>
      <xdr:colOff>268807</xdr:colOff>
      <xdr:row>27</xdr:row>
      <xdr:rowOff>173461</xdr:rowOff>
    </xdr:to>
    <mc:AlternateContent xmlns:mc="http://schemas.openxmlformats.org/markup-compatibility/2006" xmlns:a14="http://schemas.microsoft.com/office/drawing/2010/main">
      <mc:Choice Requires="a14">
        <xdr:graphicFrame macro="">
          <xdr:nvGraphicFramePr>
            <xdr:cNvPr id="17" name="Month">
              <a:extLst>
                <a:ext uri="{FF2B5EF4-FFF2-40B4-BE49-F238E27FC236}">
                  <a16:creationId xmlns:a16="http://schemas.microsoft.com/office/drawing/2014/main" id="{9F88C0D5-FCAC-4D9D-B5D8-B4DDC7372CC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547683" y="3107933"/>
              <a:ext cx="1800000" cy="19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351032</xdr:colOff>
      <xdr:row>16</xdr:row>
      <xdr:rowOff>145548</xdr:rowOff>
    </xdr:from>
    <xdr:to>
      <xdr:col>21</xdr:col>
      <xdr:colOff>55819</xdr:colOff>
      <xdr:row>27</xdr:row>
      <xdr:rowOff>147773</xdr:rowOff>
    </xdr:to>
    <xdr:graphicFrame macro="">
      <xdr:nvGraphicFramePr>
        <xdr:cNvPr id="2" name="Chart 1">
          <a:extLst>
            <a:ext uri="{FF2B5EF4-FFF2-40B4-BE49-F238E27FC236}">
              <a16:creationId xmlns:a16="http://schemas.microsoft.com/office/drawing/2014/main" id="{E5CE3326-7E60-48A8-8B93-CDED4255B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refreshedDate="46170.783825810184" createdVersion="8" refreshedVersion="8" minRefreshableVersion="3" recordCount="1000" xr:uid="{966BF7A3-F5A4-4202-A7A4-98F67303F834}">
  <cacheSource type="worksheet">
    <worksheetSource name="Table1"/>
  </cacheSource>
  <cacheFields count="15">
    <cacheField name="Order_ID" numFmtId="0">
      <sharedItems/>
    </cacheField>
    <cacheField name="Order_Date" numFmtId="164">
      <sharedItems containsSemiMixedTypes="0" containsNonDate="0" containsDate="1" containsString="0" minDate="2025-06-13T00:00:00" maxDate="2028-03-09T00:00:00"/>
    </cacheField>
    <cacheField name="Region" numFmtId="0">
      <sharedItems count="4">
        <s v="South"/>
        <s v="North"/>
        <s v="West"/>
        <s v="East"/>
      </sharedItems>
    </cacheField>
    <cacheField name="Salesperson" numFmtId="0">
      <sharedItems count="8">
        <s v="Sneha"/>
        <s v="Aman"/>
        <s v="Vikas"/>
        <s v="Rahul"/>
        <s v="Neha"/>
        <s v="Karan"/>
        <s v="Priya"/>
        <s v="Anjali"/>
      </sharedItems>
    </cacheField>
    <cacheField name="Product" numFmtId="0">
      <sharedItems count="6">
        <s v="Laptop"/>
        <s v="Headphones"/>
        <s v="Mouse"/>
        <s v="Printer"/>
        <s v="Keyboard"/>
        <s v="Monitor"/>
      </sharedItems>
    </cacheField>
    <cacheField name="Quantity" numFmtId="2">
      <sharedItems containsSemiMixedTypes="0" containsString="0" containsNumber="1" containsInteger="1" minValue="1" maxValue="10" count="10">
        <n v="1"/>
        <n v="9"/>
        <n v="5"/>
        <n v="4"/>
        <n v="10"/>
        <n v="7"/>
        <n v="6"/>
        <n v="8"/>
        <n v="2"/>
        <n v="3"/>
      </sharedItems>
    </cacheField>
    <cacheField name="Unit_Price" numFmtId="166">
      <sharedItems containsSemiMixedTypes="0" containsString="0" containsNumber="1" containsInteger="1" minValue="643" maxValue="49986"/>
    </cacheField>
    <cacheField name="Sales_Amount" numFmtId="166">
      <sharedItems containsSemiMixedTypes="0" containsString="0" containsNumber="1" containsInteger="1" minValue="1003" maxValue="489520" count="996">
        <n v="49098"/>
        <n v="55773"/>
        <n v="359577"/>
        <n v="4625"/>
        <n v="90236"/>
        <n v="16735"/>
        <n v="242000"/>
        <n v="28476"/>
        <n v="177680"/>
        <n v="127337"/>
        <n v="160740"/>
        <n v="298403"/>
        <n v="247280"/>
        <n v="51656"/>
        <n v="46630"/>
        <n v="90352"/>
        <n v="90705"/>
        <n v="363681"/>
        <n v="14208"/>
        <n v="56610"/>
        <n v="292248"/>
        <n v="175266"/>
        <n v="11268"/>
        <n v="15503"/>
        <n v="221710"/>
        <n v="26724"/>
        <n v="44629"/>
        <n v="52224"/>
        <n v="134968"/>
        <n v="13203"/>
        <n v="107128"/>
        <n v="153552"/>
        <n v="38457"/>
        <n v="267632"/>
        <n v="49530"/>
        <n v="394620"/>
        <n v="96852"/>
        <n v="30534"/>
        <n v="70116"/>
        <n v="419463"/>
        <n v="15028"/>
        <n v="83052"/>
        <n v="130424"/>
        <n v="293232"/>
        <n v="25749"/>
        <n v="18684"/>
        <n v="288225"/>
        <n v="146313"/>
        <n v="51140"/>
        <n v="77075"/>
        <n v="117560"/>
        <n v="115647"/>
        <n v="289470"/>
        <n v="17040"/>
        <n v="248034"/>
        <n v="161226"/>
        <n v="122514"/>
        <n v="269563"/>
        <n v="136000"/>
        <n v="224660"/>
        <n v="3528"/>
        <n v="132420"/>
        <n v="49715"/>
        <n v="278496"/>
        <n v="334161"/>
        <n v="239960"/>
        <n v="146635"/>
        <n v="52020"/>
        <n v="55376"/>
        <n v="271446"/>
        <n v="249395"/>
        <n v="226289"/>
        <n v="355040"/>
        <n v="92271"/>
        <n v="135708"/>
        <n v="14160"/>
        <n v="49929"/>
        <n v="35088"/>
        <n v="68976"/>
        <n v="20944"/>
        <n v="28712"/>
        <n v="306971"/>
        <n v="169652"/>
        <n v="388152"/>
        <n v="99528"/>
        <n v="404980"/>
        <n v="115208"/>
        <n v="184620"/>
        <n v="146241"/>
        <n v="108008"/>
        <n v="170310"/>
        <n v="78040"/>
        <n v="39156"/>
        <n v="77040"/>
        <n v="36764"/>
        <n v="156310"/>
        <n v="9564"/>
        <n v="30410"/>
        <n v="236112"/>
        <n v="28234"/>
        <n v="48771"/>
        <n v="77524"/>
        <n v="438310"/>
        <n v="53724"/>
        <n v="194140"/>
        <n v="295749"/>
        <n v="6485"/>
        <n v="388773"/>
        <n v="62604"/>
        <n v="321720"/>
        <n v="108430"/>
        <n v="137904"/>
        <n v="81774"/>
        <n v="161820"/>
        <n v="61482"/>
        <n v="138645"/>
        <n v="90937"/>
        <n v="162081"/>
        <n v="290169"/>
        <n v="151892"/>
        <n v="180614"/>
        <n v="222570"/>
        <n v="82104"/>
        <n v="458970"/>
        <n v="287648"/>
        <n v="57880"/>
        <n v="3514"/>
        <n v="49509"/>
        <n v="287791"/>
        <n v="153090"/>
        <n v="16020"/>
        <n v="162392"/>
        <n v="240240"/>
        <n v="454440"/>
        <n v="89112"/>
        <n v="20746"/>
        <n v="296916"/>
        <n v="56415"/>
        <n v="19448"/>
        <n v="17831"/>
        <n v="45600"/>
        <n v="84282"/>
        <n v="20446"/>
        <n v="211603"/>
        <n v="326776"/>
        <n v="127784"/>
        <n v="64695"/>
        <n v="18990"/>
        <n v="73640"/>
        <n v="18671"/>
        <n v="9137"/>
        <n v="8807"/>
        <n v="354654"/>
        <n v="4486"/>
        <n v="42528"/>
        <n v="419890"/>
        <n v="286930"/>
        <n v="158984"/>
        <n v="264528"/>
        <n v="57606"/>
        <n v="198927"/>
        <n v="209760"/>
        <n v="221730"/>
        <n v="447350"/>
        <n v="113850"/>
        <n v="6513"/>
        <n v="74253"/>
        <n v="37610"/>
        <n v="221144"/>
        <n v="323910"/>
        <n v="1003"/>
        <n v="2012"/>
        <n v="133140"/>
        <n v="30630"/>
        <n v="40240"/>
        <n v="58240"/>
        <n v="145838"/>
        <n v="70546"/>
        <n v="51825"/>
        <n v="399544"/>
        <n v="62462"/>
        <n v="41684"/>
        <n v="81610"/>
        <n v="86284"/>
        <n v="67132"/>
        <n v="364176"/>
        <n v="39310"/>
        <n v="133847"/>
        <n v="70275"/>
        <n v="298697"/>
        <n v="24263"/>
        <n v="31962"/>
        <n v="251880"/>
        <n v="268956"/>
        <n v="83124"/>
        <n v="246048"/>
        <n v="50652"/>
        <n v="29980"/>
        <n v="120260"/>
        <n v="95706"/>
        <n v="94676"/>
        <n v="140214"/>
        <n v="109398"/>
        <n v="7258"/>
        <n v="14193"/>
        <n v="236220"/>
        <n v="69950"/>
        <n v="174748"/>
        <n v="77270"/>
        <n v="255756"/>
        <n v="23384"/>
        <n v="239382"/>
        <n v="119470"/>
        <n v="187005"/>
        <n v="196592"/>
        <n v="123260"/>
        <n v="102930"/>
        <n v="48132"/>
        <n v="88972"/>
        <n v="22240"/>
        <n v="40155"/>
        <n v="95230"/>
        <n v="48713"/>
        <n v="116496"/>
        <n v="60250"/>
        <n v="73088"/>
        <n v="33812"/>
        <n v="342036"/>
        <n v="279608"/>
        <n v="59978"/>
        <n v="37179"/>
        <n v="92704"/>
        <n v="166374"/>
        <n v="35157"/>
        <n v="178440"/>
        <n v="212840"/>
        <n v="91256"/>
        <n v="241548"/>
        <n v="335772"/>
        <n v="38928"/>
        <n v="230154"/>
        <n v="165760"/>
        <n v="236270"/>
        <n v="7544"/>
        <n v="26964"/>
        <n v="270126"/>
        <n v="136332"/>
        <n v="232911"/>
        <n v="82080"/>
        <n v="489520"/>
        <n v="133248"/>
        <n v="217320"/>
        <n v="254160"/>
        <n v="168464"/>
        <n v="389784"/>
        <n v="226755"/>
        <n v="202405"/>
        <n v="233480"/>
        <n v="96800"/>
        <n v="19350"/>
        <n v="116184"/>
        <n v="161810"/>
        <n v="285072"/>
        <n v="254320"/>
        <n v="86498"/>
        <n v="230755"/>
        <n v="75320"/>
        <n v="295821"/>
        <n v="66894"/>
        <n v="446970"/>
        <n v="53538"/>
        <n v="17590"/>
        <n v="12490"/>
        <n v="164848"/>
        <n v="59440"/>
        <n v="325514"/>
        <n v="69878"/>
        <n v="123732"/>
        <n v="90166"/>
        <n v="102408"/>
        <n v="3485"/>
        <n v="71930"/>
        <n v="28125"/>
        <n v="40313"/>
        <n v="246106"/>
        <n v="254655"/>
        <n v="64260"/>
        <n v="56020"/>
        <n v="26862"/>
        <n v="193760"/>
        <n v="134874"/>
        <n v="258496"/>
        <n v="71953"/>
        <n v="92532"/>
        <n v="69125"/>
        <n v="15508"/>
        <n v="132498"/>
        <n v="98894"/>
        <n v="194193"/>
        <n v="204642"/>
        <n v="126042"/>
        <n v="384540"/>
        <n v="264887"/>
        <n v="245600"/>
        <n v="108087"/>
        <n v="27526"/>
        <n v="273465"/>
        <n v="247113"/>
        <n v="85736"/>
        <n v="153378"/>
        <n v="300216"/>
        <n v="6627"/>
        <n v="17754"/>
        <n v="57420"/>
        <n v="180440"/>
        <n v="99490"/>
        <n v="150552"/>
        <n v="66638"/>
        <n v="45642"/>
        <n v="261216"/>
        <n v="42812"/>
        <n v="76209"/>
        <n v="1680"/>
        <n v="25560"/>
        <n v="59391"/>
        <n v="42350"/>
        <n v="101170"/>
        <n v="141008"/>
        <n v="315320"/>
        <n v="155904"/>
        <n v="94210"/>
        <n v="117600"/>
        <n v="170947"/>
        <n v="116936"/>
        <n v="81805"/>
        <n v="319070"/>
        <n v="423230"/>
        <n v="34030"/>
        <n v="34912"/>
        <n v="457480"/>
        <n v="42882"/>
        <n v="138604"/>
        <n v="29412"/>
        <n v="147084"/>
        <n v="125552"/>
        <n v="134310"/>
        <n v="74964"/>
        <n v="121944"/>
        <n v="79860"/>
        <n v="89094"/>
        <n v="275670"/>
        <n v="88711"/>
        <n v="63348"/>
        <n v="102648"/>
        <n v="260216"/>
        <n v="142928"/>
        <n v="180465"/>
        <n v="50477"/>
        <n v="37200"/>
        <n v="282474"/>
        <n v="37860"/>
        <n v="190170"/>
        <n v="139404"/>
        <n v="228039"/>
        <n v="53802"/>
        <n v="6620"/>
        <n v="103425"/>
        <n v="218208"/>
        <n v="12536"/>
        <n v="182508"/>
        <n v="101454"/>
        <n v="114520"/>
        <n v="118221"/>
        <n v="56352"/>
        <n v="14526"/>
        <n v="14949"/>
        <n v="166644"/>
        <n v="149436"/>
        <n v="74604"/>
        <n v="137724"/>
        <n v="131728"/>
        <n v="127440"/>
        <n v="38993"/>
        <n v="173475"/>
        <n v="321615"/>
        <n v="42728"/>
        <n v="17176"/>
        <n v="20769"/>
        <n v="11236"/>
        <n v="242665"/>
        <n v="35464"/>
        <n v="33242"/>
        <n v="446790"/>
        <n v="31417"/>
        <n v="106491"/>
        <n v="49950"/>
        <n v="35119"/>
        <n v="8176"/>
        <n v="328320"/>
        <n v="15769"/>
        <n v="36560"/>
        <n v="32980"/>
        <n v="77122"/>
        <n v="29007"/>
        <n v="324954"/>
        <n v="27568"/>
        <n v="168640"/>
        <n v="41790"/>
        <n v="94212"/>
        <n v="59470"/>
        <n v="19322"/>
        <n v="272856"/>
        <n v="171340"/>
        <n v="30544"/>
        <n v="82775"/>
        <n v="40746"/>
        <n v="35968"/>
        <n v="151452"/>
        <n v="184368"/>
        <n v="237792"/>
        <n v="157540"/>
        <n v="14879"/>
        <n v="213400"/>
        <n v="112209"/>
        <n v="8362"/>
        <n v="137030"/>
        <n v="116832"/>
        <n v="272335"/>
        <n v="296758"/>
        <n v="119910"/>
        <n v="261630"/>
        <n v="73220"/>
        <n v="69012"/>
        <n v="67412"/>
        <n v="204533"/>
        <n v="225882"/>
        <n v="19827"/>
        <n v="77315"/>
        <n v="303352"/>
        <n v="51800"/>
        <n v="26249"/>
        <n v="43694"/>
        <n v="126972"/>
        <n v="260424"/>
        <n v="172963"/>
        <n v="72400"/>
        <n v="248679"/>
        <n v="409743"/>
        <n v="331184"/>
        <n v="52520"/>
        <n v="118491"/>
        <n v="196857"/>
        <n v="30636"/>
        <n v="164568"/>
        <n v="69489"/>
        <n v="14920"/>
        <n v="94360"/>
        <n v="172224"/>
        <n v="343406"/>
        <n v="242424"/>
        <n v="10668"/>
        <n v="238626"/>
        <n v="297350"/>
        <n v="38364"/>
        <n v="179652"/>
        <n v="119688"/>
        <n v="176204"/>
        <n v="372312"/>
        <n v="404140"/>
        <n v="111870"/>
        <n v="39823"/>
        <n v="87505"/>
        <n v="129460"/>
        <n v="130791"/>
        <n v="240125"/>
        <n v="197088"/>
        <n v="154465"/>
        <n v="75168"/>
        <n v="40878"/>
        <n v="178392"/>
        <n v="71110"/>
        <n v="289230"/>
        <n v="35481"/>
        <n v="44851"/>
        <n v="51272"/>
        <n v="151895"/>
        <n v="297954"/>
        <n v="43020"/>
        <n v="297248"/>
        <n v="45703"/>
        <n v="371976"/>
        <n v="163737"/>
        <n v="82150"/>
        <n v="173920"/>
        <n v="297261"/>
        <n v="15474"/>
        <n v="34540"/>
        <n v="23898"/>
        <n v="13450"/>
        <n v="66117"/>
        <n v="23880"/>
        <n v="301154"/>
        <n v="10946"/>
        <n v="243390"/>
        <n v="28096"/>
        <n v="313038"/>
        <n v="71694"/>
        <n v="90712"/>
        <n v="33722"/>
        <n v="304432"/>
        <n v="7226"/>
        <n v="169070"/>
        <n v="178048"/>
        <n v="2572"/>
        <n v="77632"/>
        <n v="33652"/>
        <n v="45372"/>
        <n v="335430"/>
        <n v="321490"/>
        <n v="402250"/>
        <n v="118668"/>
        <n v="180801"/>
        <n v="227485"/>
        <n v="287829"/>
        <n v="4312"/>
        <n v="226430"/>
        <n v="180966"/>
        <n v="229560"/>
        <n v="36225"/>
        <n v="299916"/>
        <n v="25506"/>
        <n v="160353"/>
        <n v="9351"/>
        <n v="215703"/>
        <n v="98496"/>
        <n v="133176"/>
        <n v="178242"/>
        <n v="121205"/>
        <n v="259224"/>
        <n v="318996"/>
        <n v="27944"/>
        <n v="17892"/>
        <n v="154180"/>
        <n v="148645"/>
        <n v="47884"/>
        <n v="145915"/>
        <n v="148317"/>
        <n v="7380"/>
        <n v="263260"/>
        <n v="299817"/>
        <n v="66175"/>
        <n v="33858"/>
        <n v="28224"/>
        <n v="245352"/>
        <n v="21026"/>
        <n v="191724"/>
        <n v="128418"/>
        <n v="96344"/>
        <n v="36649"/>
        <n v="485520"/>
        <n v="10746"/>
        <n v="375810"/>
        <n v="125496"/>
        <n v="217566"/>
        <n v="93240"/>
        <n v="171080"/>
        <n v="165389"/>
        <n v="86463"/>
        <n v="32436"/>
        <n v="64112"/>
        <n v="16469"/>
        <n v="11401"/>
        <n v="29388"/>
        <n v="98520"/>
        <n v="316752"/>
        <n v="13761"/>
        <n v="398090"/>
        <n v="358420"/>
        <n v="257508"/>
        <n v="69030"/>
        <n v="361330"/>
        <n v="69126"/>
        <n v="85269"/>
        <n v="185590"/>
        <n v="97696"/>
        <n v="341040"/>
        <n v="29108"/>
        <n v="6469"/>
        <n v="99212"/>
        <n v="173466"/>
        <n v="174196"/>
        <n v="416457"/>
        <n v="10818"/>
        <n v="272363"/>
        <n v="348327"/>
        <n v="8040"/>
        <n v="49008"/>
        <n v="131544"/>
        <n v="24635"/>
        <n v="320436"/>
        <n v="32892"/>
        <n v="181340"/>
        <n v="71572"/>
        <n v="11286"/>
        <n v="211710"/>
        <n v="105385"/>
        <n v="33430"/>
        <n v="169488"/>
        <n v="145182"/>
        <n v="325432"/>
        <n v="146550"/>
        <n v="454580"/>
        <n v="93443"/>
        <n v="74496"/>
        <n v="36260"/>
        <n v="59962"/>
        <n v="115265"/>
        <n v="107442"/>
        <n v="390144"/>
        <n v="34446"/>
        <n v="69057"/>
        <n v="127932"/>
        <n v="8694"/>
        <n v="13524"/>
        <n v="14622"/>
        <n v="195352"/>
        <n v="130872"/>
        <n v="108918"/>
        <n v="138465"/>
        <n v="61182"/>
        <n v="45573"/>
        <n v="156520"/>
        <n v="118139"/>
        <n v="290367"/>
        <n v="24908"/>
        <n v="327430"/>
        <n v="21606"/>
        <n v="4395"/>
        <n v="369392"/>
        <n v="36246"/>
        <n v="94674"/>
        <n v="69306"/>
        <n v="65364"/>
        <n v="67615"/>
        <n v="152369"/>
        <n v="38581"/>
        <n v="99786"/>
        <n v="139386"/>
        <n v="384723"/>
        <n v="287844"/>
        <n v="415629"/>
        <n v="368410"/>
        <n v="181548"/>
        <n v="161490"/>
        <n v="293120"/>
        <n v="13616"/>
        <n v="30060"/>
        <n v="372528"/>
        <n v="2714"/>
        <n v="24153"/>
        <n v="96048"/>
        <n v="151428"/>
        <n v="268218"/>
        <n v="235025"/>
        <n v="149166"/>
        <n v="100320"/>
        <n v="48099"/>
        <n v="75205"/>
        <n v="341091"/>
        <n v="28710"/>
        <n v="267010"/>
        <n v="365544"/>
        <n v="8328"/>
        <n v="197996"/>
        <n v="21426"/>
        <n v="207921"/>
        <n v="27489"/>
        <n v="233709"/>
        <n v="211256"/>
        <n v="151865"/>
        <n v="77898"/>
        <n v="330720"/>
        <n v="144726"/>
        <n v="7000"/>
        <n v="85182"/>
        <n v="483360"/>
        <n v="19113"/>
        <n v="51940"/>
        <n v="109543"/>
        <n v="25434"/>
        <n v="111800"/>
        <n v="248850"/>
        <n v="169758"/>
        <n v="242375"/>
        <n v="146804"/>
        <n v="115734"/>
        <n v="84267"/>
        <n v="428841"/>
        <n v="142660"/>
        <n v="6648"/>
        <n v="24044"/>
        <n v="77676"/>
        <n v="10381"/>
        <n v="87864"/>
        <n v="22687"/>
        <n v="394150"/>
        <n v="137972"/>
        <n v="212680"/>
        <n v="40740"/>
        <n v="71244"/>
        <n v="12222"/>
        <n v="142737"/>
        <n v="69656"/>
        <n v="225360"/>
        <n v="27997"/>
        <n v="2924"/>
        <n v="7884"/>
        <n v="241888"/>
        <n v="416980"/>
        <n v="17436"/>
        <n v="55650"/>
        <n v="241050"/>
        <n v="57010"/>
        <n v="110375"/>
        <n v="56205"/>
        <n v="413440"/>
        <n v="157510"/>
        <n v="97660"/>
        <n v="380511"/>
        <n v="168530"/>
        <n v="408690"/>
        <n v="252768"/>
        <n v="202149"/>
        <n v="221304"/>
        <n v="12710"/>
        <n v="99504"/>
        <n v="128592"/>
        <n v="17700"/>
        <n v="38895"/>
        <n v="403641"/>
        <n v="72819"/>
        <n v="69232"/>
        <n v="81858"/>
        <n v="51425"/>
        <n v="219018"/>
        <n v="203450"/>
        <n v="7442"/>
        <n v="393460"/>
        <n v="50823"/>
        <n v="60714"/>
        <n v="174110"/>
        <n v="19864"/>
        <n v="116730"/>
        <n v="387558"/>
        <n v="164756"/>
        <n v="183940"/>
        <n v="97910"/>
        <n v="59354"/>
        <n v="153699"/>
        <n v="10115"/>
        <n v="106584"/>
        <n v="38106"/>
        <n v="35829"/>
        <n v="325640"/>
        <n v="129078"/>
        <n v="167058"/>
        <n v="9936"/>
        <n v="212702"/>
        <n v="269946"/>
        <n v="331470"/>
        <n v="16152"/>
        <n v="19622"/>
        <n v="33142"/>
        <n v="31227"/>
        <n v="57385"/>
        <n v="115800"/>
        <n v="100902"/>
        <n v="86695"/>
        <n v="71964"/>
        <n v="36186"/>
        <n v="384632"/>
        <n v="142317"/>
        <n v="8939"/>
        <n v="6880"/>
        <n v="34700"/>
        <n v="138300"/>
        <n v="2566"/>
        <n v="85040"/>
        <n v="159124"/>
        <n v="126080"/>
        <n v="84726"/>
        <n v="37344"/>
        <n v="60800"/>
        <n v="60848"/>
        <n v="36345"/>
        <n v="129858"/>
        <n v="156876"/>
        <n v="71794"/>
        <n v="134112"/>
        <n v="34632"/>
        <n v="306607"/>
        <n v="389520"/>
        <n v="207824"/>
        <n v="25038"/>
        <n v="274851"/>
        <n v="97620"/>
        <n v="4323"/>
        <n v="117702"/>
        <n v="18540"/>
        <n v="362750"/>
        <n v="36898"/>
        <n v="131736"/>
        <n v="75866"/>
        <n v="93632"/>
        <n v="39508"/>
        <n v="39577"/>
        <n v="37050"/>
        <n v="123688"/>
        <n v="136224"/>
        <n v="4040"/>
        <n v="301970"/>
        <n v="72954"/>
        <n v="93462"/>
        <n v="95228"/>
        <n v="29064"/>
        <n v="381392"/>
        <n v="45864"/>
        <n v="82033"/>
        <n v="115161"/>
        <n v="157076"/>
        <n v="66964"/>
        <n v="31344"/>
        <n v="60302"/>
        <n v="119304"/>
        <n v="139773"/>
        <n v="88340"/>
        <n v="320383"/>
        <n v="360490"/>
        <n v="23274"/>
        <n v="128934"/>
        <n v="71478"/>
        <n v="405711"/>
        <n v="266904"/>
        <n v="267750"/>
        <n v="85526"/>
        <n v="99081"/>
        <n v="82368"/>
        <n v="3888"/>
        <n v="194160"/>
        <n v="58770"/>
        <n v="70926"/>
        <n v="33201"/>
        <n v="75546"/>
        <n v="287040"/>
        <n v="91554"/>
        <n v="157790"/>
        <n v="25008"/>
        <n v="118908"/>
        <n v="74856"/>
        <n v="130572"/>
        <n v="173068"/>
        <n v="298136"/>
        <n v="337743"/>
        <n v="279408"/>
        <n v="138325"/>
        <n v="183990"/>
        <n v="121712"/>
        <n v="69104"/>
        <n v="9456"/>
        <n v="231480"/>
        <n v="204528"/>
        <n v="64350"/>
        <n v="167958"/>
        <n v="68352"/>
        <n v="272340"/>
        <n v="59508"/>
        <n v="21636"/>
        <n v="16278"/>
        <n v="57660"/>
        <n v="30144"/>
        <n v="16953"/>
        <n v="13368"/>
        <n v="40536"/>
        <n v="133344"/>
        <n v="66132"/>
        <n v="132489"/>
        <n v="421947"/>
        <n v="198051"/>
        <n v="61832"/>
        <n v="5890"/>
        <n v="227630"/>
        <n v="20244"/>
        <n v="356368"/>
        <n v="322343"/>
        <n v="81744"/>
        <n v="150016"/>
        <n v="270050"/>
        <n v="162845"/>
        <n v="359520"/>
        <n v="261032"/>
        <n v="209986"/>
        <n v="110943"/>
        <n v="237025"/>
        <n v="101118"/>
        <n v="114840"/>
        <n v="22620"/>
        <n v="164976"/>
        <n v="60660"/>
        <n v="35785"/>
        <n v="312272"/>
        <n v="65010"/>
        <n v="68520"/>
        <n v="71232"/>
        <n v="165724"/>
        <n v="353030"/>
        <n v="181386"/>
        <n v="342750"/>
        <n v="175224"/>
        <n v="34727"/>
        <n v="145165"/>
        <n v="51918"/>
        <n v="9260"/>
        <n v="300272"/>
        <n v="93520"/>
        <n v="42144"/>
        <n v="53020"/>
        <n v="75654"/>
        <n v="42078"/>
        <n v="23956"/>
        <n v="32636"/>
        <n v="74804"/>
        <n v="42796"/>
        <n v="145376"/>
        <n v="26254"/>
        <n v="44000"/>
        <n v="250984"/>
        <n v="168415"/>
        <n v="42533"/>
        <n v="105300"/>
        <n v="118287"/>
        <n v="136659"/>
        <n v="74520"/>
        <n v="415660"/>
        <n v="113022"/>
        <n v="51948"/>
        <n v="98280"/>
        <n v="7155"/>
        <n v="453440"/>
        <n v="318591"/>
        <n v="39150"/>
        <n v="470020"/>
        <n v="142275"/>
        <n v="58160"/>
        <n v="259848"/>
        <n v="247545"/>
        <n v="189117"/>
        <n v="31896"/>
        <n v="56090"/>
        <n v="281796"/>
        <n v="39792"/>
        <n v="439590"/>
        <n v="358888"/>
        <n v="52664"/>
        <n v="375040"/>
        <n v="301940"/>
        <n v="24834"/>
        <n v="106572"/>
        <n v="25209"/>
        <n v="49162"/>
        <n v="398430"/>
        <n v="46137"/>
        <n v="98883"/>
        <n v="161488"/>
        <n v="188795"/>
        <n v="46844"/>
        <n v="14094"/>
        <n v="55558"/>
        <n v="178710"/>
        <n v="174940"/>
        <n v="2742"/>
        <n v="480730"/>
        <n v="4227"/>
        <n v="129243"/>
        <n v="225184"/>
        <n v="29959"/>
        <n v="7228"/>
        <n v="176004"/>
        <n v="35123"/>
        <n v="65304"/>
        <n v="240460"/>
        <n v="453900"/>
        <n v="188724"/>
        <n v="88432"/>
        <n v="55522"/>
        <n v="1688"/>
        <n v="4672"/>
      </sharedItems>
    </cacheField>
    <cacheField name="Cost_Amount" numFmtId="166">
      <sharedItems containsSemiMixedTypes="0" containsString="0" containsNumber="1" minValue="663.31" maxValue="433907.75"/>
    </cacheField>
    <cacheField name="Profit" numFmtId="166">
      <sharedItems containsSemiMixedTypes="0" containsString="0" containsNumber="1" minValue="196.75" maxValue="156305.60000000001" count="1000">
        <n v="15588.18"/>
        <n v="12429.14"/>
        <n v="140968.28"/>
        <n v="797.15"/>
        <n v="33327.49"/>
        <n v="3030.38"/>
        <n v="54884.23"/>
        <n v="8143.06"/>
        <n v="56841.01"/>
        <n v="13133.92"/>
        <n v="51385"/>
        <n v="78284.37"/>
        <n v="55545.07"/>
        <n v="8950.2000000000007"/>
        <n v="13269.49"/>
        <n v="12158.08"/>
        <n v="36193.69"/>
        <n v="123770.34"/>
        <n v="5206.38"/>
        <n v="21189.35"/>
        <n v="102421.79"/>
        <n v="22804.87"/>
        <n v="2518.48"/>
        <n v="5887.73"/>
        <n v="56397.63"/>
        <n v="9912.49"/>
        <n v="9102.68"/>
        <n v="17909.560000000001"/>
        <n v="18578.91"/>
        <n v="1443.1"/>
        <n v="13848.13"/>
        <n v="41934.71"/>
        <n v="6894.53"/>
        <n v="33235.58"/>
        <n v="9779.02"/>
        <n v="153143.14000000001"/>
        <n v="31023.21"/>
        <n v="6523.66"/>
        <n v="9517.6"/>
        <n v="129716.78"/>
        <n v="2664.09"/>
        <n v="16091.4"/>
        <n v="50444.61"/>
        <n v="55215.519999999997"/>
        <n v="3852.6"/>
        <n v="2434.9499999999998"/>
        <n v="50484.54"/>
        <n v="17945.849999999999"/>
        <n v="7075.22"/>
        <n v="25675.45"/>
        <n v="24400.22"/>
        <n v="12864.54"/>
        <n v="47493.79"/>
        <n v="3192.69"/>
        <n v="75855.070000000007"/>
        <n v="30767.96"/>
        <n v="28088.59"/>
        <n v="58765.15"/>
        <n v="35094"/>
        <n v="83569.89"/>
        <n v="1152.06"/>
        <n v="24430.99"/>
        <n v="7052.96"/>
        <n v="107202.71"/>
        <n v="73971.320000000007"/>
        <n v="77325.320000000007"/>
        <n v="55245.47"/>
        <n v="18648.53"/>
        <n v="15379.03"/>
        <n v="31536.97"/>
        <n v="70579.78"/>
        <n v="88545.2"/>
        <n v="139143.75"/>
        <n v="31877.9"/>
        <n v="23291.71"/>
        <n v="2482.14"/>
        <n v="19506.810000000001"/>
        <n v="9050.31"/>
        <n v="15052.78"/>
        <n v="4759.75"/>
        <n v="5479.46"/>
        <n v="88662.05"/>
        <n v="35512.31"/>
        <n v="123810.89"/>
        <n v="15006.9"/>
        <n v="80811.11"/>
        <n v="33819.599999999999"/>
        <n v="73285.77"/>
        <n v="28197.78"/>
        <n v="20787.64"/>
        <n v="17203.11"/>
        <n v="28391.200000000001"/>
        <n v="13120.57"/>
        <n v="22475.32"/>
        <n v="11483.57"/>
        <n v="40075.65"/>
        <n v="2675.89"/>
        <n v="3096.48"/>
        <n v="73382.210000000006"/>
        <n v="5995.36"/>
        <n v="17218.12"/>
        <n v="14567.79"/>
        <n v="69616.03"/>
        <n v="8166.62"/>
        <n v="52078.82"/>
        <n v="79459.58"/>
        <n v="2148.63"/>
        <n v="103931.14"/>
        <n v="18506.47"/>
        <n v="80867.31"/>
        <n v="39601.19"/>
        <n v="40194.35"/>
        <n v="9951.75"/>
        <n v="30270.880000000001"/>
        <n v="7124.64"/>
        <n v="20738.91"/>
        <n v="11225.22"/>
        <n v="24933.759999999998"/>
        <n v="86024.320000000007"/>
        <n v="43305.74"/>
        <n v="18689.18"/>
        <n v="30957.24"/>
        <n v="11389.48"/>
        <n v="128858.12"/>
        <n v="111961.31"/>
        <n v="6164.14"/>
        <n v="1063.6400000000001"/>
        <n v="11914.35"/>
        <n v="56136.4"/>
        <n v="49509.61"/>
        <n v="4285.05"/>
        <n v="55251.43"/>
        <n v="54668.15"/>
        <n v="75667.22"/>
        <n v="18625.71"/>
        <n v="3390.25"/>
        <n v="81755.55"/>
        <n v="18216.91"/>
        <n v="3379.18"/>
        <n v="4262.1099999999997"/>
        <n v="9008.24"/>
        <n v="12881.95"/>
        <n v="2069.58"/>
        <n v="61089.06"/>
        <n v="90701.66"/>
        <n v="18319.75"/>
        <n v="7086.56"/>
        <n v="7307.85"/>
        <n v="24879.48"/>
        <n v="2660.21"/>
        <n v="3614.07"/>
        <n v="1563.11"/>
        <n v="130258.67"/>
        <n v="450.5"/>
        <n v="5537.99"/>
        <n v="94219.37"/>
        <n v="106234.82"/>
        <n v="24129.67"/>
        <n v="85583.55"/>
        <n v="21373.59"/>
        <n v="39585.68"/>
        <n v="61775.61"/>
        <n v="64242.21"/>
        <n v="92686.56"/>
        <n v="33550.800000000003"/>
        <n v="1147.3699999999999"/>
        <n v="22759.200000000001"/>
        <n v="7439.61"/>
        <n v="70334.84"/>
        <n v="78360.23"/>
        <n v="339.69"/>
        <n v="504.58"/>
        <n v="30939.46"/>
        <n v="3787.44"/>
        <n v="11206.45"/>
        <n v="8541.17"/>
        <n v="25705.19"/>
        <n v="17425.88"/>
        <n v="17662.919999999998"/>
        <n v="92246.46"/>
        <n v="16698.439999999999"/>
        <n v="10899.42"/>
        <n v="18099.14"/>
        <n v="18852.900000000001"/>
        <n v="13840.06"/>
        <n v="128326.93"/>
        <n v="6416.65"/>
        <n v="43420.14"/>
        <n v="21569.54"/>
        <n v="48538.68"/>
        <n v="7456.99"/>
        <n v="12044.89"/>
        <n v="89096.04"/>
        <n v="49521.33"/>
        <n v="9170.32"/>
        <n v="41623.550000000003"/>
        <n v="19467.900000000001"/>
        <n v="5128.53"/>
        <n v="16188.33"/>
        <n v="27194.880000000001"/>
        <n v="19409.7"/>
        <n v="36352.86"/>
        <n v="12901.55"/>
        <n v="2384.02"/>
        <n v="2986.4"/>
        <n v="77440.17"/>
        <n v="16562.439999999999"/>
        <n v="56601.74"/>
        <n v="13865.63"/>
        <n v="88868.37"/>
        <n v="7295.04"/>
        <n v="24719.35"/>
        <n v="16888.09"/>
        <n v="33101.32"/>
        <n v="24123.19"/>
        <n v="29133.45"/>
        <n v="27402.57"/>
        <n v="6689.81"/>
        <n v="18572.57"/>
        <n v="8053.79"/>
        <n v="14213.61"/>
        <n v="22965.86"/>
        <n v="16766.310000000001"/>
        <n v="11776.63"/>
        <n v="20979.24"/>
        <n v="17347.330000000002"/>
        <n v="3532.01"/>
        <n v="98960.13"/>
        <n v="77384.72"/>
        <n v="15609.28"/>
        <n v="5598.52"/>
        <n v="10730.96"/>
        <n v="60302.080000000002"/>
        <n v="7115.08"/>
        <n v="36519.71"/>
        <n v="24051.97"/>
        <n v="34862.17"/>
        <n v="86208.33"/>
        <n v="123612.72"/>
        <n v="14440.59"/>
        <n v="42270.42"/>
        <n v="41570.769999999997"/>
        <n v="91059.06"/>
        <n v="2042.32"/>
        <n v="6172.48"/>
        <n v="46104.77"/>
        <n v="31717.7"/>
        <n v="90351.66"/>
        <n v="17903.439999999999"/>
        <n v="72066.850000000006"/>
        <n v="26364.19"/>
        <n v="35885.79"/>
        <n v="90396.4"/>
        <n v="46220.78"/>
        <n v="70854.69"/>
        <n v="69358.509999999995"/>
        <n v="51561.86"/>
        <n v="78873.429999999993"/>
        <n v="35180.78"/>
        <n v="2194.4"/>
        <n v="39430.480000000003"/>
        <n v="52954.36"/>
        <n v="73628.06"/>
        <n v="52094.5"/>
        <n v="19700.78"/>
        <n v="79404.3"/>
        <n v="9148.6299999999992"/>
        <n v="39409.870000000003"/>
        <n v="12085.35"/>
        <n v="77243.199999999997"/>
        <n v="10666.01"/>
        <n v="5011.88"/>
        <n v="4015.96"/>
        <n v="58040.5"/>
        <n v="6704.35"/>
        <n v="76570.539999999994"/>
        <n v="18585.84"/>
        <n v="28234.34"/>
        <n v="30510.33"/>
        <n v="28200.36"/>
        <n v="614.26"/>
        <n v="7319.81"/>
        <n v="4788.33"/>
        <n v="7868.33"/>
        <n v="89040.14"/>
        <n v="61224.13"/>
        <n v="7632.6"/>
        <n v="21277.11"/>
        <n v="7207.37"/>
        <n v="44015.86"/>
        <n v="37216.04"/>
        <n v="64963.6"/>
        <n v="22307.84"/>
        <n v="11619.95"/>
        <n v="20801.169999999998"/>
        <n v="4954.21"/>
        <n v="33943.57"/>
        <n v="9902.1"/>
        <n v="32497.39"/>
        <n v="27658.68"/>
        <n v="34765.019999999997"/>
        <n v="70753.98"/>
        <n v="39730.720000000001"/>
        <n v="85844.54"/>
        <n v="11122.47"/>
        <n v="9875.02"/>
        <n v="78768.800000000003"/>
        <n v="97966.64"/>
        <n v="31541.85"/>
        <n v="23840.41"/>
        <n v="98181.93"/>
        <n v="1845.07"/>
        <n v="4439.25"/>
        <n v="7442.67"/>
        <n v="41672.080000000002"/>
        <n v="17343.46"/>
        <n v="22523.31"/>
        <n v="11752.48"/>
        <n v="9970.4699999999993"/>
        <n v="86608.38"/>
        <n v="7207.39"/>
        <n v="14212.74"/>
        <n v="196.75"/>
        <n v="6919.25"/>
        <n v="13120.82"/>
        <n v="7730.86"/>
        <n v="32321.59"/>
        <n v="35919.050000000003"/>
        <n v="67793.600000000006"/>
        <n v="22998.33"/>
        <n v="29192.799999999999"/>
        <n v="21113.63"/>
        <n v="62538.17"/>
        <n v="18790.95"/>
        <n v="26520.81"/>
        <n v="71895.02"/>
        <n v="53191.39"/>
        <n v="7862.08"/>
        <n v="11639.65"/>
        <n v="114306.07"/>
        <n v="15659.61"/>
        <n v="35360.959999999999"/>
        <n v="9115.39"/>
        <n v="48070.89"/>
        <n v="20172.849999999999"/>
        <n v="35609.269999999997"/>
        <n v="13066.4"/>
        <n v="44608.76"/>
        <n v="23608.42"/>
        <n v="32057.42"/>
        <n v="98577.51"/>
        <n v="22532.5"/>
        <n v="9337.7800000000007"/>
        <n v="11378.66"/>
        <n v="91029.79"/>
        <n v="44793.48"/>
        <n v="27613.88"/>
        <n v="9045.65"/>
        <n v="9979.98"/>
        <n v="61274.67"/>
        <n v="11159.44"/>
        <n v="60815.81"/>
        <n v="19541.150000000001"/>
        <n v="81489.399999999994"/>
        <n v="13198.49"/>
        <n v="922.35"/>
        <n v="11331.39"/>
        <n v="49450.28"/>
        <n v="4547.17"/>
        <n v="23210.97"/>
        <n v="38073.03"/>
        <n v="23288.15"/>
        <n v="39266.25"/>
        <n v="10807.79"/>
        <n v="4444.88"/>
        <n v="3600.43"/>
        <n v="29249.25"/>
        <n v="54253.16"/>
        <n v="15414.22"/>
        <n v="30013.08"/>
        <n v="37441.620000000003"/>
        <n v="45930.03"/>
        <n v="14807.21"/>
        <n v="36677.61"/>
        <n v="69207.009999999995"/>
        <n v="10215.540000000001"/>
        <n v="5610.64"/>
        <n v="4157.46"/>
        <n v="2821.09"/>
        <n v="32535.45"/>
        <n v="6607.05"/>
        <n v="4726.75"/>
        <n v="81836.960000000006"/>
        <n v="9136.2900000000009"/>
        <n v="32315.69"/>
        <n v="12456.92"/>
        <n v="4807.88"/>
        <n v="2365.5100000000002"/>
        <n v="33049.96"/>
        <n v="3745.71"/>
        <n v="12373.43"/>
        <n v="12757.65"/>
        <n v="28637.47"/>
        <n v="5838.15"/>
        <n v="48882.85"/>
        <n v="9901.5"/>
        <n v="46889.72"/>
        <n v="15582.39"/>
        <n v="30669.24"/>
        <n v="23233.46"/>
        <n v="7024.78"/>
        <n v="57548.26"/>
        <n v="45742.74"/>
        <n v="10678.28"/>
        <n v="24320.7"/>
        <n v="8729.7099999999991"/>
        <n v="13440.65"/>
        <n v="31922.1"/>
        <n v="23266.67"/>
        <n v="79492.429999999993"/>
        <n v="16983.759999999998"/>
        <n v="3381.88"/>
        <n v="33746.42"/>
        <n v="12958.96"/>
        <n v="2761.24"/>
        <n v="21659.84"/>
        <n v="22033.48"/>
        <n v="100679.62"/>
        <n v="33177.949999999997"/>
        <n v="34352.39"/>
        <n v="37876.94"/>
        <n v="8712.7199999999993"/>
        <n v="14433.44"/>
        <n v="12946.28"/>
        <n v="36861.89"/>
        <n v="83479.53"/>
        <n v="7811.37"/>
        <n v="13947.97"/>
        <n v="106325.13"/>
        <n v="14359.79"/>
        <n v="5997.08"/>
        <n v="13616.59"/>
        <n v="39673.230000000003"/>
        <n v="34255.33"/>
        <n v="59503.62"/>
        <n v="16704.560000000001"/>
        <n v="27053.38"/>
        <n v="57336.07"/>
        <n v="129023.14"/>
        <n v="19019.810000000001"/>
        <n v="38229.24"/>
        <n v="28153.06"/>
        <n v="7046.95"/>
        <n v="52786.67"/>
        <n v="14907.24"/>
        <n v="2630.02"/>
        <n v="13884.7"/>
        <n v="54969.42"/>
        <n v="87452.42"/>
        <n v="87104.17"/>
        <n v="2806.38"/>
        <n v="49962.81"/>
        <n v="103098.65"/>
        <n v="15029.67"/>
        <n v="60718.91"/>
        <n v="19119.03"/>
        <n v="25465.73"/>
        <n v="104565.4"/>
        <n v="127383.69"/>
        <n v="35983.65"/>
        <n v="11101.48"/>
        <n v="11194.21"/>
        <n v="38456.080000000002"/>
        <n v="17925.11"/>
        <n v="37818.93"/>
        <n v="27310.55"/>
        <n v="22341.17"/>
        <n v="10504.78"/>
        <n v="12148.9"/>
        <n v="37585.440000000002"/>
        <n v="12205.46"/>
        <n v="60724.92"/>
        <n v="12069.77"/>
        <n v="17884.91"/>
        <n v="12766.68"/>
        <n v="27591.79"/>
        <n v="102338.91"/>
        <n v="7734.01"/>
        <n v="96089.35"/>
        <n v="16693.62"/>
        <n v="131702.51999999999"/>
        <n v="34902.29"/>
        <n v="25892.69"/>
        <n v="18794.509999999998"/>
        <n v="37720.339999999997"/>
        <n v="2312.29"/>
        <n v="7139.38"/>
        <n v="3292.14"/>
        <n v="1945.22"/>
        <n v="19355.21"/>
        <n v="6680.83"/>
        <n v="40403.67"/>
        <n v="4037.83"/>
        <n v="95251.93"/>
        <n v="10704.55"/>
        <n v="60581.46"/>
        <n v="10631.51"/>
        <n v="34247.449999999997"/>
        <n v="11235.77"/>
        <n v="80848.14"/>
        <n v="2015.82"/>
        <n v="39105.93"/>
        <n v="41299.08"/>
        <n v="765.41"/>
        <n v="11912.51"/>
        <n v="4069.71"/>
        <n v="7842.79"/>
        <n v="120623.71"/>
        <n v="39443.199999999997"/>
        <n v="54380.68"/>
        <n v="31345.71"/>
        <n v="26591.79"/>
        <n v="67429.27"/>
        <n v="64807.040000000001"/>
        <n v="1232.1099999999999"/>
        <n v="73551.64"/>
        <n v="66822.78"/>
        <n v="46061.66"/>
        <n v="14349.1"/>
        <n v="67026.55"/>
        <n v="2837.73"/>
        <n v="57884.23"/>
        <n v="3309.22"/>
        <n v="81565.02"/>
        <n v="27108.13"/>
        <n v="38855.519999999997"/>
        <n v="58444.77"/>
        <n v="28838.16"/>
        <n v="100279.38"/>
        <n v="126896.87"/>
        <n v="6669.5"/>
        <n v="6687.02"/>
        <n v="19535.23"/>
        <n v="58704.77"/>
        <n v="5822.01"/>
        <n v="41669.81"/>
        <n v="41929.550000000003"/>
        <n v="1726.5"/>
        <n v="62880.81"/>
        <n v="43342.25"/>
        <n v="24194.46"/>
        <n v="12545.72"/>
        <n v="8875.2900000000009"/>
        <n v="49603.63"/>
        <n v="6857.58"/>
        <n v="50067.86"/>
        <n v="27996.63"/>
        <n v="36358.300000000003"/>
        <n v="11794.2"/>
        <n v="69356.899999999994"/>
        <n v="2162.06"/>
        <n v="75979.77"/>
        <n v="47831.75"/>
        <n v="61695.64"/>
        <n v="10206.76"/>
        <n v="38269.97"/>
        <n v="25607.01"/>
        <n v="23174.71"/>
        <n v="9449.68"/>
        <n v="12657.71"/>
        <n v="6374.44"/>
        <n v="3677.07"/>
        <n v="7794.84"/>
        <n v="15922.33"/>
        <n v="70579.06"/>
        <n v="3346.49"/>
        <n v="154573.98000000001"/>
        <n v="54387.89"/>
        <n v="85274.84"/>
        <n v="18800.54"/>
        <n v="100235.11"/>
        <n v="27501.21"/>
        <n v="17439.830000000002"/>
        <n v="19015.63"/>
        <n v="28227.9"/>
        <n v="122289.93"/>
        <n v="7204.14"/>
        <n v="989.91"/>
        <n v="37302.53"/>
        <n v="32354.57"/>
        <n v="21038.080000000002"/>
        <n v="137638.5"/>
        <n v="4045.36"/>
        <n v="92578.06"/>
        <n v="102955.51"/>
        <n v="2586.21"/>
        <n v="7798.02"/>
        <n v="22725.279999999999"/>
        <n v="7025.85"/>
        <n v="127239.7"/>
        <n v="7684.71"/>
        <n v="62592.160000000003"/>
        <n v="24188.93"/>
        <n v="2226.2399999999998"/>
        <n v="53413.99"/>
        <n v="18437.02"/>
        <n v="9889.0400000000009"/>
        <n v="32751.32"/>
        <n v="31383.5"/>
        <n v="96676.43"/>
        <n v="21059.55"/>
        <n v="150661.44"/>
        <n v="33288.78"/>
        <n v="7548.79"/>
        <n v="10170.18"/>
        <n v="10590.61"/>
        <n v="45420.1"/>
        <n v="11409.06"/>
        <n v="103747.47"/>
        <n v="7158.77"/>
        <n v="22894.79"/>
        <n v="17103.54"/>
        <n v="1579.42"/>
        <n v="5150.78"/>
        <n v="4697.53"/>
        <n v="61486.54"/>
        <n v="18417.310000000001"/>
        <n v="24261.56"/>
        <n v="21958.84"/>
        <n v="24279.05"/>
        <n v="5622.5"/>
        <n v="25194.99"/>
        <n v="41469.050000000003"/>
        <n v="95278.55"/>
        <n v="8942.2900000000009"/>
        <n v="112525.63"/>
        <n v="6813.79"/>
        <n v="1107.22"/>
        <n v="60053.01"/>
        <n v="8591.84"/>
        <n v="30798.52"/>
        <n v="13874.9"/>
        <n v="13808.19"/>
        <n v="19734.93"/>
        <n v="60258.84"/>
        <n v="6364.22"/>
        <n v="37178.22"/>
        <n v="33326.36"/>
        <n v="66553.52"/>
        <n v="103503.05"/>
        <n v="105142.67"/>
        <n v="129642.37"/>
        <n v="72579.990000000005"/>
        <n v="49059.33"/>
        <n v="103694.29"/>
        <n v="3309.23"/>
        <n v="7646.93"/>
        <n v="70633.47"/>
        <n v="328.22"/>
        <n v="5617.84"/>
        <n v="5117.42"/>
        <n v="31762.55"/>
        <n v="32163.68"/>
        <n v="70376.06"/>
        <n v="70212.81"/>
        <n v="41214.120000000003"/>
        <n v="17083.25"/>
        <n v="18739.419999999998"/>
        <n v="25235.279999999999"/>
        <n v="41689.26"/>
        <n v="9201.66"/>
        <n v="61220.19"/>
        <n v="69141.05"/>
        <n v="1028"/>
        <n v="40424.1"/>
        <n v="5099.84"/>
        <n v="36209.01"/>
        <n v="8223.32"/>
        <n v="63020.26"/>
        <n v="43164.98"/>
        <n v="29549.68"/>
        <n v="23663.74"/>
        <n v="117820.47"/>
        <n v="20865.259999999998"/>
        <n v="2079.13"/>
        <n v="15162.06"/>
        <n v="49452.25"/>
        <n v="6494.43"/>
        <n v="10486.07"/>
        <n v="11618.37"/>
        <n v="8656.14"/>
        <n v="28287.65"/>
        <n v="76969.84"/>
        <n v="56414.86"/>
        <n v="27101.96"/>
        <n v="18655.759999999998"/>
        <n v="27497.69"/>
        <n v="22834.73"/>
        <n v="156305.60000000001"/>
        <n v="38104.29"/>
        <n v="1138.57"/>
        <n v="9044.33"/>
        <n v="19618.34"/>
        <n v="1270.32"/>
        <n v="12288.77"/>
        <n v="4937.17"/>
        <n v="94261.83"/>
        <n v="32925.54"/>
        <n v="28643.9"/>
        <n v="7863.39"/>
        <n v="24655.31"/>
        <n v="3225.33"/>
        <n v="25695.7"/>
        <n v="13082.53"/>
        <n v="31236.78"/>
        <n v="8611.35"/>
        <n v="623.49"/>
        <n v="1715.6"/>
        <n v="66991.990000000005"/>
        <n v="97046.01"/>
        <n v="6213.98"/>
        <n v="5669.59"/>
        <n v="29060.04"/>
        <n v="8380.8799999999992"/>
        <n v="26697.97"/>
        <n v="14326.72"/>
        <n v="121486.86"/>
        <n v="29521.14"/>
        <n v="14217.25"/>
        <n v="127965.32"/>
        <n v="39604.870000000003"/>
        <n v="45759.45"/>
        <n v="40651.08"/>
        <n v="52813.24"/>
        <n v="52943.519999999997"/>
        <n v="3790.81"/>
        <n v="30599.03"/>
        <n v="37102"/>
        <n v="2949.93"/>
        <n v="11589.36"/>
        <n v="41245.61"/>
        <n v="29037.82"/>
        <n v="11779.54"/>
        <n v="28014.78"/>
        <n v="18140.23"/>
        <n v="66681.02"/>
        <n v="26921.94"/>
        <n v="2120.38"/>
        <n v="83082.539999999994"/>
        <n v="5483.57"/>
        <n v="18632.060000000001"/>
        <n v="21962.5"/>
        <n v="7556.08"/>
        <n v="25525.11"/>
        <n v="146777.04999999999"/>
        <n v="53857.53"/>
        <n v="40965.08"/>
        <n v="11821.75"/>
        <n v="20604.61"/>
        <n v="38687.800000000003"/>
        <n v="2040.56"/>
        <n v="36057.53"/>
        <n v="8580.7800000000007"/>
        <n v="14322.54"/>
        <n v="72601.710000000006"/>
        <n v="25977.43"/>
        <n v="59091.72"/>
        <n v="1824.23"/>
        <n v="28060.77"/>
        <n v="76822.740000000005"/>
        <n v="48380.97"/>
        <n v="1720.67"/>
        <n v="3550.49"/>
        <n v="8559.4"/>
        <n v="8237.36"/>
        <n v="22345.84"/>
        <n v="26418.84"/>
        <n v="38034.129999999997"/>
        <n v="34308.6"/>
        <n v="23145.37"/>
        <n v="3973.09"/>
        <n v="80283.31"/>
        <n v="2757.19"/>
        <n v="40711.17"/>
        <n v="2801.15"/>
        <n v="857.84"/>
        <n v="11221.87"/>
        <n v="41321"/>
        <n v="709.82"/>
        <n v="29090.15"/>
        <n v="33189.31"/>
        <n v="16541.63"/>
        <n v="22364.86"/>
        <n v="6231.53"/>
        <n v="16283.92"/>
        <n v="21712.89"/>
        <n v="14157.89"/>
        <n v="26997.4"/>
        <n v="35706.22"/>
        <n v="23853.27"/>
        <n v="26212.09"/>
        <n v="5113.26"/>
        <n v="105073.93"/>
        <n v="133667.94"/>
        <n v="79202.19"/>
        <n v="7478.46"/>
        <n v="32425.01"/>
        <n v="19899.89"/>
        <n v="1505.81"/>
        <n v="44822.42"/>
        <n v="2941.63"/>
        <n v="130155.13"/>
        <n v="13195.79"/>
        <n v="16110.96"/>
        <n v="29990.66"/>
        <n v="19145.240000000002"/>
        <n v="8219.73"/>
        <n v="13693.64"/>
        <n v="12200.87"/>
        <n v="20890.98"/>
        <n v="20006.599999999999"/>
        <n v="834.43"/>
        <n v="116863.83"/>
        <n v="27630.75"/>
        <n v="15543.42"/>
        <n v="27362.84"/>
        <n v="10361.83"/>
        <n v="130342.06"/>
        <n v="10521.21"/>
        <n v="14101.32"/>
        <n v="12547.86"/>
        <n v="40518.269999999997"/>
        <n v="20210.490000000002"/>
        <n v="5640.58"/>
        <n v="15160.8"/>
        <n v="39165.269999999997"/>
        <n v="36650.6"/>
        <n v="14403.16"/>
        <n v="96155.96"/>
        <n v="81986.67"/>
        <n v="8534.81"/>
        <n v="29959.47"/>
        <n v="14673.61"/>
        <n v="110808.3"/>
        <n v="64589.49"/>
        <n v="31163.53"/>
        <n v="26811.39"/>
        <n v="35158.949999999997"/>
        <n v="21236.82"/>
        <n v="538.34"/>
        <n v="43102.13"/>
        <n v="9592.42"/>
        <n v="22319.38"/>
        <n v="10910.79"/>
        <n v="25568.799999999999"/>
        <n v="30816.7"/>
        <n v="11138.15"/>
        <n v="20703.12"/>
        <n v="8957.19"/>
        <n v="34814.11"/>
        <n v="25547.25"/>
        <n v="39781.72"/>
        <n v="49180.08"/>
        <n v="111419.51"/>
        <n v="44268.43"/>
        <n v="29060.81"/>
        <n v="48072.38"/>
        <n v="46517.15"/>
        <n v="47704.77"/>
        <n v="14087.27"/>
        <n v="3443.81"/>
        <n v="59225.14"/>
        <n v="36838.11"/>
        <n v="16839.55"/>
        <n v="35124.36"/>
        <n v="23366.51"/>
        <n v="43584.43"/>
        <n v="23572.95"/>
        <n v="7240.21"/>
        <n v="2512.4499999999998"/>
        <n v="8930.86"/>
        <n v="10893.61"/>
        <n v="4620.68"/>
        <n v="4914.8100000000004"/>
        <n v="8096.02"/>
        <n v="39275.129999999997"/>
        <n v="9487.2000000000007"/>
        <n v="24544.45"/>
        <n v="108687.37"/>
        <n v="66489.25"/>
        <n v="15092.06"/>
        <n v="1776.22"/>
        <n v="24389.71"/>
        <n v="2663.58"/>
        <n v="131303.23000000001"/>
        <n v="71828.600000000006"/>
        <n v="18107.259999999998"/>
        <n v="25585.96"/>
        <n v="28015.81"/>
        <n v="40844.44"/>
        <n v="140922.97"/>
        <n v="153427.54999999999"/>
        <n v="64882.52"/>
        <n v="64178.49"/>
        <n v="22430.09"/>
        <n v="67143.460000000006"/>
        <n v="38756.39"/>
        <n v="34894.730000000003"/>
        <n v="3855.39"/>
        <n v="48605.1"/>
        <n v="7696.74"/>
        <n v="10812.97"/>
        <n v="122825.65"/>
        <n v="24052.59"/>
        <n v="14769.6"/>
        <n v="23917.99"/>
        <n v="29355.29"/>
        <n v="90876.800000000003"/>
        <n v="48997.23"/>
        <n v="90496.77"/>
        <n v="19513.8"/>
        <n v="11800.43"/>
        <n v="40199.370000000003"/>
        <n v="10069.16"/>
        <n v="3021.76"/>
        <n v="38525.89"/>
        <n v="18928.330000000002"/>
        <n v="9251.4500000000007"/>
        <n v="6206.06"/>
        <n v="18415.150000000001"/>
        <n v="12674.49"/>
        <n v="8043.64"/>
        <n v="7831.3"/>
        <n v="10186.06"/>
        <n v="4705.78"/>
        <n v="30284.04"/>
        <n v="3196.37"/>
        <n v="5510.24"/>
        <n v="44905.41"/>
        <n v="64012.83"/>
        <n v="8826.5400000000009"/>
        <n v="23930.18"/>
        <n v="22980.09"/>
        <n v="30351.13"/>
        <n v="21011.040000000001"/>
        <n v="137744.66"/>
        <n v="3156.58"/>
        <n v="41229.839999999997"/>
        <n v="6035.54"/>
        <n v="21619.16"/>
        <n v="2239.1"/>
        <n v="93331.25"/>
        <n v="107153.21"/>
        <n v="15047.94"/>
        <n v="82501.41"/>
        <n v="15186.84"/>
        <n v="14474.63"/>
        <n v="92885.6"/>
        <n v="72239.16"/>
        <n v="50923.040000000001"/>
        <n v="10950.66"/>
        <n v="10556.76"/>
        <n v="65304.43"/>
        <n v="13484.71"/>
        <n v="98598.62"/>
        <n v="133401.70000000001"/>
        <n v="15163.68"/>
        <n v="75809.91"/>
        <n v="91344.51"/>
        <n v="4392.1400000000003"/>
        <n v="39777.31"/>
        <n v="7825.78"/>
        <n v="12103.88"/>
        <n v="108802.8"/>
        <n v="17895.09"/>
        <n v="23911.53"/>
        <n v="57395.75"/>
        <n v="72814.740000000005"/>
        <n v="12207.69"/>
        <n v="5155.8599999999997"/>
        <n v="7609.97"/>
        <n v="53184.04"/>
        <n v="24231.86"/>
        <n v="955.53"/>
        <n v="122097.37"/>
        <n v="1448.84"/>
        <n v="42322.68"/>
        <n v="88599.76"/>
        <n v="6723.76"/>
        <n v="1524.22"/>
        <n v="68447.05"/>
        <n v="13848.79"/>
        <n v="16428.09"/>
        <n v="82318.98"/>
        <n v="135377.54"/>
        <n v="30209.71"/>
        <n v="22561.93"/>
        <n v="6500.72"/>
        <n v="493.51"/>
        <n v="1395.43"/>
      </sharedItems>
    </cacheField>
    <cacheField name="Payment_Mode" numFmtId="0">
      <sharedItems count="4">
        <s v="UPI"/>
        <s v="Card"/>
        <s v="Cash"/>
        <s v="Net Banking"/>
      </sharedItems>
    </cacheField>
    <cacheField name="Profit %" numFmtId="2">
      <sharedItems containsSemiMixedTypes="0" containsString="0" containsNumber="1" minValue="10.012842032883693" maxValue="39.978402405975281"/>
    </cacheField>
    <cacheField name="Sales Category" numFmtId="166">
      <sharedItems/>
    </cacheField>
    <cacheField name="Month" numFmtId="0">
      <sharedItems count="12">
        <s v="June"/>
        <s v="July"/>
        <s v="August"/>
        <s v="September"/>
        <s v="October"/>
        <s v="November"/>
        <s v="December"/>
        <s v="January"/>
        <s v="February"/>
        <s v="March"/>
        <s v="April"/>
        <s v="May"/>
      </sharedItems>
    </cacheField>
    <cacheField name="Year" numFmtId="0">
      <sharedItems containsSemiMixedTypes="0" containsString="0" containsNumber="1" containsInteger="1" minValue="2025" maxValue="2028"/>
    </cacheField>
  </cacheFields>
  <extLst>
    <ext xmlns:x14="http://schemas.microsoft.com/office/spreadsheetml/2009/9/main" uri="{725AE2AE-9491-48be-B2B4-4EB974FC3084}">
      <x14:pivotCacheDefinition pivotCacheId="3013096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d v="2025-06-13T00:00:00"/>
    <x v="0"/>
    <x v="0"/>
    <x v="0"/>
    <x v="0"/>
    <n v="49098"/>
    <x v="0"/>
    <n v="33509.82"/>
    <x v="0"/>
    <x v="0"/>
    <n v="31.749114016864233"/>
    <s v="Low"/>
    <x v="0"/>
    <n v="2025"/>
  </r>
  <r>
    <s v="ORD0002"/>
    <d v="2025-06-14T00:00:00"/>
    <x v="1"/>
    <x v="1"/>
    <x v="1"/>
    <x v="1"/>
    <n v="6197"/>
    <x v="1"/>
    <n v="43343.86"/>
    <x v="1"/>
    <x v="0"/>
    <n v="22.285227619098848"/>
    <s v="Low"/>
    <x v="0"/>
    <n v="2025"/>
  </r>
  <r>
    <s v="ORD0003"/>
    <d v="2025-06-15T00:00:00"/>
    <x v="0"/>
    <x v="2"/>
    <x v="2"/>
    <x v="1"/>
    <n v="39953"/>
    <x v="2"/>
    <n v="218608.72"/>
    <x v="2"/>
    <x v="1"/>
    <n v="39.203920161745607"/>
    <s v="High"/>
    <x v="0"/>
    <n v="2025"/>
  </r>
  <r>
    <s v="ORD0004"/>
    <d v="2025-06-16T00:00:00"/>
    <x v="0"/>
    <x v="2"/>
    <x v="3"/>
    <x v="2"/>
    <n v="925"/>
    <x v="3"/>
    <n v="3827.85"/>
    <x v="3"/>
    <x v="2"/>
    <n v="17.235675675675672"/>
    <s v="Low"/>
    <x v="0"/>
    <n v="2025"/>
  </r>
  <r>
    <s v="ORD0005"/>
    <d v="2025-06-17T00:00:00"/>
    <x v="2"/>
    <x v="3"/>
    <x v="2"/>
    <x v="3"/>
    <n v="22559"/>
    <x v="4"/>
    <n v="56908.51"/>
    <x v="4"/>
    <x v="2"/>
    <n v="36.933696085819406"/>
    <s v="Low"/>
    <x v="0"/>
    <n v="2025"/>
  </r>
  <r>
    <s v="ORD0006"/>
    <d v="2025-06-18T00:00:00"/>
    <x v="1"/>
    <x v="2"/>
    <x v="3"/>
    <x v="2"/>
    <n v="3347"/>
    <x v="5"/>
    <n v="13704.62"/>
    <x v="5"/>
    <x v="0"/>
    <n v="18.10803704810278"/>
    <s v="Low"/>
    <x v="0"/>
    <n v="2025"/>
  </r>
  <r>
    <s v="ORD0007"/>
    <d v="2025-06-19T00:00:00"/>
    <x v="1"/>
    <x v="1"/>
    <x v="4"/>
    <x v="4"/>
    <n v="24200"/>
    <x v="6"/>
    <n v="187115.77"/>
    <x v="6"/>
    <x v="1"/>
    <n v="22.679433884297524"/>
    <s v="High"/>
    <x v="0"/>
    <n v="2025"/>
  </r>
  <r>
    <s v="ORD0008"/>
    <d v="2025-06-20T00:00:00"/>
    <x v="2"/>
    <x v="4"/>
    <x v="0"/>
    <x v="3"/>
    <n v="7119"/>
    <x v="7"/>
    <n v="20332.939999999999"/>
    <x v="7"/>
    <x v="1"/>
    <n v="28.596221379407222"/>
    <s v="Low"/>
    <x v="0"/>
    <n v="2025"/>
  </r>
  <r>
    <s v="ORD0009"/>
    <d v="2025-06-21T00:00:00"/>
    <x v="1"/>
    <x v="0"/>
    <x v="4"/>
    <x v="3"/>
    <n v="44420"/>
    <x v="8"/>
    <n v="120838.99"/>
    <x v="8"/>
    <x v="1"/>
    <n v="31.990662989644303"/>
    <s v="Medium"/>
    <x v="0"/>
    <n v="2025"/>
  </r>
  <r>
    <s v="ORD0010"/>
    <d v="2025-06-22T00:00:00"/>
    <x v="0"/>
    <x v="4"/>
    <x v="5"/>
    <x v="5"/>
    <n v="18191"/>
    <x v="9"/>
    <n v="114203.08"/>
    <x v="9"/>
    <x v="0"/>
    <n v="10.314299850004319"/>
    <s v="Medium"/>
    <x v="0"/>
    <n v="2025"/>
  </r>
  <r>
    <s v="ORD0011"/>
    <d v="2025-06-23T00:00:00"/>
    <x v="0"/>
    <x v="4"/>
    <x v="0"/>
    <x v="6"/>
    <n v="26790"/>
    <x v="10"/>
    <n v="109355"/>
    <x v="10"/>
    <x v="1"/>
    <n v="31.967774045041679"/>
    <s v="Medium"/>
    <x v="0"/>
    <n v="2025"/>
  </r>
  <r>
    <s v="ORD0012"/>
    <d v="2025-06-24T00:00:00"/>
    <x v="3"/>
    <x v="0"/>
    <x v="5"/>
    <x v="5"/>
    <n v="42629"/>
    <x v="11"/>
    <n v="220118.63"/>
    <x v="11"/>
    <x v="1"/>
    <n v="26.234444693920633"/>
    <s v="High"/>
    <x v="0"/>
    <n v="2025"/>
  </r>
  <r>
    <s v="ORD0013"/>
    <d v="2025-06-25T00:00:00"/>
    <x v="2"/>
    <x v="4"/>
    <x v="3"/>
    <x v="2"/>
    <n v="49456"/>
    <x v="12"/>
    <n v="191734.93"/>
    <x v="12"/>
    <x v="1"/>
    <n v="22.462419120025881"/>
    <s v="High"/>
    <x v="0"/>
    <n v="2025"/>
  </r>
  <r>
    <s v="ORD0014"/>
    <d v="2025-06-26T00:00:00"/>
    <x v="1"/>
    <x v="0"/>
    <x v="3"/>
    <x v="7"/>
    <n v="6457"/>
    <x v="13"/>
    <n v="42705.8"/>
    <x v="13"/>
    <x v="1"/>
    <n v="17.326544835062723"/>
    <s v="Low"/>
    <x v="0"/>
    <n v="2025"/>
  </r>
  <r>
    <s v="ORD0015"/>
    <d v="2025-06-27T00:00:00"/>
    <x v="2"/>
    <x v="5"/>
    <x v="5"/>
    <x v="4"/>
    <n v="4663"/>
    <x v="14"/>
    <n v="33360.51"/>
    <x v="14"/>
    <x v="0"/>
    <n v="28.456980484666524"/>
    <s v="Low"/>
    <x v="0"/>
    <n v="2025"/>
  </r>
  <r>
    <s v="ORD0016"/>
    <d v="2025-06-28T00:00:00"/>
    <x v="3"/>
    <x v="4"/>
    <x v="1"/>
    <x v="8"/>
    <n v="45176"/>
    <x v="15"/>
    <n v="78193.919999999998"/>
    <x v="15"/>
    <x v="0"/>
    <n v="13.456348503630247"/>
    <s v="Low"/>
    <x v="0"/>
    <n v="2025"/>
  </r>
  <r>
    <s v="ORD0017"/>
    <d v="2025-06-29T00:00:00"/>
    <x v="3"/>
    <x v="0"/>
    <x v="5"/>
    <x v="9"/>
    <n v="30235"/>
    <x v="16"/>
    <n v="54511.31"/>
    <x v="16"/>
    <x v="0"/>
    <n v="39.902640427760325"/>
    <s v="Low"/>
    <x v="0"/>
    <n v="2025"/>
  </r>
  <r>
    <s v="ORD0018"/>
    <d v="2025-06-30T00:00:00"/>
    <x v="3"/>
    <x v="0"/>
    <x v="4"/>
    <x v="1"/>
    <n v="40409"/>
    <x v="17"/>
    <n v="239910.66"/>
    <x v="17"/>
    <x v="0"/>
    <n v="34.032665990249697"/>
    <s v="High"/>
    <x v="0"/>
    <n v="2025"/>
  </r>
  <r>
    <s v="ORD0019"/>
    <d v="2025-07-01T00:00:00"/>
    <x v="3"/>
    <x v="5"/>
    <x v="4"/>
    <x v="7"/>
    <n v="1776"/>
    <x v="18"/>
    <n v="9001.6200000000008"/>
    <x v="18"/>
    <x v="1"/>
    <n v="36.644003378378379"/>
    <s v="Low"/>
    <x v="1"/>
    <n v="2025"/>
  </r>
  <r>
    <s v="ORD0020"/>
    <d v="2025-07-02T00:00:00"/>
    <x v="2"/>
    <x v="3"/>
    <x v="2"/>
    <x v="4"/>
    <n v="5661"/>
    <x v="19"/>
    <n v="35420.65"/>
    <x v="19"/>
    <x v="1"/>
    <n v="37.430400989224516"/>
    <s v="Low"/>
    <x v="1"/>
    <n v="2025"/>
  </r>
  <r>
    <s v="ORD0021"/>
    <d v="2025-07-03T00:00:00"/>
    <x v="2"/>
    <x v="6"/>
    <x v="1"/>
    <x v="7"/>
    <n v="36531"/>
    <x v="20"/>
    <n v="189826.21"/>
    <x v="20"/>
    <x v="1"/>
    <n v="35.046190222003226"/>
    <s v="High"/>
    <x v="1"/>
    <n v="2025"/>
  </r>
  <r>
    <s v="ORD0022"/>
    <d v="2025-07-04T00:00:00"/>
    <x v="2"/>
    <x v="3"/>
    <x v="5"/>
    <x v="6"/>
    <n v="29211"/>
    <x v="21"/>
    <n v="152461.13"/>
    <x v="21"/>
    <x v="1"/>
    <n v="13.01157668914678"/>
    <s v="Medium"/>
    <x v="1"/>
    <n v="2025"/>
  </r>
  <r>
    <s v="ORD0023"/>
    <d v="2025-07-05T00:00:00"/>
    <x v="0"/>
    <x v="6"/>
    <x v="0"/>
    <x v="6"/>
    <n v="1878"/>
    <x v="22"/>
    <n v="8749.52"/>
    <x v="22"/>
    <x v="0"/>
    <n v="22.350727724529644"/>
    <s v="Low"/>
    <x v="1"/>
    <n v="2025"/>
  </r>
  <r>
    <s v="ORD0024"/>
    <d v="2025-07-06T00:00:00"/>
    <x v="1"/>
    <x v="4"/>
    <x v="1"/>
    <x v="0"/>
    <n v="15503"/>
    <x v="23"/>
    <n v="9615.27"/>
    <x v="23"/>
    <x v="0"/>
    <n v="37.978004257240535"/>
    <s v="Low"/>
    <x v="1"/>
    <n v="2025"/>
  </r>
  <r>
    <s v="ORD0025"/>
    <d v="2025-07-07T00:00:00"/>
    <x v="0"/>
    <x v="7"/>
    <x v="2"/>
    <x v="2"/>
    <n v="44342"/>
    <x v="24"/>
    <n v="165312.37"/>
    <x v="24"/>
    <x v="1"/>
    <n v="25.4375670921474"/>
    <s v="High"/>
    <x v="1"/>
    <n v="2025"/>
  </r>
  <r>
    <s v="ORD0026"/>
    <d v="2025-07-08T00:00:00"/>
    <x v="2"/>
    <x v="4"/>
    <x v="5"/>
    <x v="3"/>
    <n v="6681"/>
    <x v="25"/>
    <n v="16811.509999999998"/>
    <x v="25"/>
    <x v="3"/>
    <n v="37.092089507558747"/>
    <s v="Low"/>
    <x v="1"/>
    <n v="2025"/>
  </r>
  <r>
    <s v="ORD0027"/>
    <d v="2025-07-09T00:00:00"/>
    <x v="1"/>
    <x v="1"/>
    <x v="5"/>
    <x v="0"/>
    <n v="44629"/>
    <x v="26"/>
    <n v="35526.32"/>
    <x v="26"/>
    <x v="3"/>
    <n v="20.396334222142553"/>
    <s v="Low"/>
    <x v="1"/>
    <n v="2025"/>
  </r>
  <r>
    <s v="ORD0028"/>
    <d v="2025-07-10T00:00:00"/>
    <x v="2"/>
    <x v="0"/>
    <x v="0"/>
    <x v="3"/>
    <n v="13056"/>
    <x v="27"/>
    <n v="34314.44"/>
    <x v="27"/>
    <x v="3"/>
    <n v="34.293734681372548"/>
    <s v="Low"/>
    <x v="1"/>
    <n v="2025"/>
  </r>
  <r>
    <s v="ORD0029"/>
    <d v="2025-07-11T00:00:00"/>
    <x v="1"/>
    <x v="7"/>
    <x v="4"/>
    <x v="7"/>
    <n v="16871"/>
    <x v="28"/>
    <n v="116389.09"/>
    <x v="28"/>
    <x v="0"/>
    <n v="13.765418469563157"/>
    <s v="Medium"/>
    <x v="1"/>
    <n v="2025"/>
  </r>
  <r>
    <s v="ORD0030"/>
    <d v="2025-07-12T00:00:00"/>
    <x v="0"/>
    <x v="0"/>
    <x v="1"/>
    <x v="1"/>
    <n v="1467"/>
    <x v="29"/>
    <n v="11759.9"/>
    <x v="29"/>
    <x v="3"/>
    <n v="10.930091645838067"/>
    <s v="Low"/>
    <x v="1"/>
    <n v="2025"/>
  </r>
  <r>
    <s v="ORD0031"/>
    <d v="2025-07-13T00:00:00"/>
    <x v="0"/>
    <x v="2"/>
    <x v="5"/>
    <x v="3"/>
    <n v="26782"/>
    <x v="30"/>
    <n v="93279.87"/>
    <x v="30"/>
    <x v="0"/>
    <n v="12.926713837652153"/>
    <s v="Medium"/>
    <x v="1"/>
    <n v="2025"/>
  </r>
  <r>
    <s v="ORD0032"/>
    <d v="2025-07-14T00:00:00"/>
    <x v="2"/>
    <x v="0"/>
    <x v="4"/>
    <x v="7"/>
    <n v="19194"/>
    <x v="31"/>
    <n v="111617.29"/>
    <x v="31"/>
    <x v="1"/>
    <n v="27.309777795144313"/>
    <s v="Medium"/>
    <x v="1"/>
    <n v="2025"/>
  </r>
  <r>
    <s v="ORD0033"/>
    <d v="2025-07-15T00:00:00"/>
    <x v="1"/>
    <x v="4"/>
    <x v="2"/>
    <x v="0"/>
    <n v="38457"/>
    <x v="32"/>
    <n v="31562.47"/>
    <x v="32"/>
    <x v="0"/>
    <n v="17.927893491431988"/>
    <s v="Low"/>
    <x v="1"/>
    <n v="2025"/>
  </r>
  <r>
    <s v="ORD0034"/>
    <d v="2025-07-16T00:00:00"/>
    <x v="0"/>
    <x v="1"/>
    <x v="3"/>
    <x v="7"/>
    <n v="33454"/>
    <x v="33"/>
    <n v="234396.42"/>
    <x v="33"/>
    <x v="0"/>
    <n v="12.418387935672865"/>
    <s v="High"/>
    <x v="1"/>
    <n v="2025"/>
  </r>
  <r>
    <s v="ORD0035"/>
    <d v="2025-07-17T00:00:00"/>
    <x v="0"/>
    <x v="2"/>
    <x v="0"/>
    <x v="4"/>
    <n v="4953"/>
    <x v="34"/>
    <n v="39750.980000000003"/>
    <x v="34"/>
    <x v="0"/>
    <n v="19.743630123157683"/>
    <s v="Low"/>
    <x v="1"/>
    <n v="2025"/>
  </r>
  <r>
    <s v="ORD0036"/>
    <d v="2025-07-18T00:00:00"/>
    <x v="1"/>
    <x v="2"/>
    <x v="2"/>
    <x v="4"/>
    <n v="39462"/>
    <x v="35"/>
    <n v="241476.86"/>
    <x v="35"/>
    <x v="2"/>
    <n v="38.807749227104559"/>
    <s v="High"/>
    <x v="1"/>
    <n v="2025"/>
  </r>
  <r>
    <s v="ORD0037"/>
    <d v="2025-07-19T00:00:00"/>
    <x v="0"/>
    <x v="5"/>
    <x v="2"/>
    <x v="6"/>
    <n v="16142"/>
    <x v="36"/>
    <n v="65828.789999999994"/>
    <x v="36"/>
    <x v="3"/>
    <n v="32.03156362284723"/>
    <s v="Low"/>
    <x v="1"/>
    <n v="2025"/>
  </r>
  <r>
    <s v="ORD0038"/>
    <d v="2025-07-20T00:00:00"/>
    <x v="1"/>
    <x v="3"/>
    <x v="0"/>
    <x v="0"/>
    <n v="30534"/>
    <x v="37"/>
    <n v="24010.34"/>
    <x v="37"/>
    <x v="1"/>
    <n v="21.365232200170301"/>
    <s v="Low"/>
    <x v="1"/>
    <n v="2025"/>
  </r>
  <r>
    <s v="ORD0039"/>
    <d v="2025-07-21T00:00:00"/>
    <x v="0"/>
    <x v="4"/>
    <x v="4"/>
    <x v="9"/>
    <n v="23372"/>
    <x v="38"/>
    <n v="60598.400000000001"/>
    <x v="38"/>
    <x v="2"/>
    <n v="13.574077243425181"/>
    <s v="Low"/>
    <x v="1"/>
    <n v="2025"/>
  </r>
  <r>
    <s v="ORD0040"/>
    <d v="2025-07-22T00:00:00"/>
    <x v="1"/>
    <x v="5"/>
    <x v="5"/>
    <x v="1"/>
    <n v="46607"/>
    <x v="39"/>
    <n v="289746.21999999997"/>
    <x v="39"/>
    <x v="0"/>
    <n v="30.924486784293254"/>
    <s v="High"/>
    <x v="1"/>
    <n v="2025"/>
  </r>
  <r>
    <s v="ORD0041"/>
    <d v="2025-07-23T00:00:00"/>
    <x v="0"/>
    <x v="5"/>
    <x v="4"/>
    <x v="8"/>
    <n v="7514"/>
    <x v="40"/>
    <n v="12363.91"/>
    <x v="40"/>
    <x v="2"/>
    <n v="17.727508650519034"/>
    <s v="Low"/>
    <x v="1"/>
    <n v="2025"/>
  </r>
  <r>
    <s v="ORD0042"/>
    <d v="2025-07-24T00:00:00"/>
    <x v="3"/>
    <x v="7"/>
    <x v="2"/>
    <x v="6"/>
    <n v="13842"/>
    <x v="41"/>
    <n v="66960.600000000006"/>
    <x v="41"/>
    <x v="2"/>
    <n v="19.375090304869239"/>
    <s v="Low"/>
    <x v="1"/>
    <n v="2025"/>
  </r>
  <r>
    <s v="ORD0043"/>
    <d v="2025-07-25T00:00:00"/>
    <x v="3"/>
    <x v="0"/>
    <x v="0"/>
    <x v="5"/>
    <n v="18632"/>
    <x v="42"/>
    <n v="79979.39"/>
    <x v="42"/>
    <x v="2"/>
    <n v="38.677398331595413"/>
    <s v="Medium"/>
    <x v="1"/>
    <n v="2025"/>
  </r>
  <r>
    <s v="ORD0044"/>
    <d v="2025-07-26T00:00:00"/>
    <x v="1"/>
    <x v="3"/>
    <x v="1"/>
    <x v="7"/>
    <n v="36654"/>
    <x v="43"/>
    <n v="238016.48"/>
    <x v="43"/>
    <x v="0"/>
    <n v="18.829977628635344"/>
    <s v="High"/>
    <x v="1"/>
    <n v="2025"/>
  </r>
  <r>
    <s v="ORD0045"/>
    <d v="2025-07-27T00:00:00"/>
    <x v="0"/>
    <x v="2"/>
    <x v="2"/>
    <x v="1"/>
    <n v="2861"/>
    <x v="44"/>
    <n v="21896.400000000001"/>
    <x v="44"/>
    <x v="1"/>
    <n v="14.962134451823372"/>
    <s v="Low"/>
    <x v="1"/>
    <n v="2025"/>
  </r>
  <r>
    <s v="ORD0046"/>
    <d v="2025-07-28T00:00:00"/>
    <x v="0"/>
    <x v="6"/>
    <x v="4"/>
    <x v="6"/>
    <n v="3114"/>
    <x v="45"/>
    <n v="16249.05"/>
    <x v="45"/>
    <x v="0"/>
    <n v="13.032273603082849"/>
    <s v="Low"/>
    <x v="1"/>
    <n v="2025"/>
  </r>
  <r>
    <s v="ORD0047"/>
    <d v="2025-07-29T00:00:00"/>
    <x v="0"/>
    <x v="0"/>
    <x v="3"/>
    <x v="5"/>
    <n v="41175"/>
    <x v="46"/>
    <n v="237740.46"/>
    <x v="46"/>
    <x v="1"/>
    <n v="17.515670049440541"/>
    <s v="High"/>
    <x v="1"/>
    <n v="2025"/>
  </r>
  <r>
    <s v="ORD0048"/>
    <d v="2025-07-30T00:00:00"/>
    <x v="2"/>
    <x v="6"/>
    <x v="0"/>
    <x v="9"/>
    <n v="48771"/>
    <x v="47"/>
    <n v="128367.15"/>
    <x v="47"/>
    <x v="2"/>
    <n v="12.265383117016258"/>
    <s v="Medium"/>
    <x v="1"/>
    <n v="2025"/>
  </r>
  <r>
    <s v="ORD0049"/>
    <d v="2025-07-31T00:00:00"/>
    <x v="2"/>
    <x v="6"/>
    <x v="1"/>
    <x v="8"/>
    <n v="25570"/>
    <x v="48"/>
    <n v="44064.78"/>
    <x v="48"/>
    <x v="1"/>
    <n v="13.835001955416503"/>
    <s v="Low"/>
    <x v="1"/>
    <n v="2025"/>
  </r>
  <r>
    <s v="ORD0050"/>
    <d v="2025-08-01T00:00:00"/>
    <x v="0"/>
    <x v="2"/>
    <x v="4"/>
    <x v="2"/>
    <n v="15415"/>
    <x v="49"/>
    <n v="51399.55"/>
    <x v="49"/>
    <x v="2"/>
    <n v="33.312293220888748"/>
    <s v="Low"/>
    <x v="2"/>
    <n v="2025"/>
  </r>
  <r>
    <s v="ORD0051"/>
    <d v="2025-08-02T00:00:00"/>
    <x v="2"/>
    <x v="4"/>
    <x v="0"/>
    <x v="2"/>
    <n v="23512"/>
    <x v="50"/>
    <n v="93159.78"/>
    <x v="50"/>
    <x v="0"/>
    <n v="20.755546104117048"/>
    <s v="Medium"/>
    <x v="2"/>
    <n v="2025"/>
  </r>
  <r>
    <s v="ORD0052"/>
    <d v="2025-08-03T00:00:00"/>
    <x v="3"/>
    <x v="1"/>
    <x v="4"/>
    <x v="9"/>
    <n v="38549"/>
    <x v="51"/>
    <n v="102782.46"/>
    <x v="51"/>
    <x v="0"/>
    <n v="11.123972087473087"/>
    <s v="Medium"/>
    <x v="2"/>
    <n v="2025"/>
  </r>
  <r>
    <s v="ORD0053"/>
    <d v="2025-08-04T00:00:00"/>
    <x v="2"/>
    <x v="3"/>
    <x v="5"/>
    <x v="6"/>
    <n v="48245"/>
    <x v="52"/>
    <n v="241976.21"/>
    <x v="52"/>
    <x v="3"/>
    <n v="16.40715445469306"/>
    <s v="High"/>
    <x v="2"/>
    <n v="2025"/>
  </r>
  <r>
    <s v="ORD0054"/>
    <d v="2025-08-05T00:00:00"/>
    <x v="1"/>
    <x v="6"/>
    <x v="2"/>
    <x v="2"/>
    <n v="3408"/>
    <x v="53"/>
    <n v="13847.31"/>
    <x v="53"/>
    <x v="2"/>
    <n v="18.73644366197183"/>
    <s v="Low"/>
    <x v="2"/>
    <n v="2025"/>
  </r>
  <r>
    <s v="ORD0055"/>
    <d v="2025-08-06T00:00:00"/>
    <x v="1"/>
    <x v="5"/>
    <x v="0"/>
    <x v="6"/>
    <n v="41339"/>
    <x v="54"/>
    <n v="172178.93"/>
    <x v="54"/>
    <x v="2"/>
    <n v="30.582529008119856"/>
    <s v="High"/>
    <x v="2"/>
    <n v="2025"/>
  </r>
  <r>
    <s v="ORD0056"/>
    <d v="2025-08-07T00:00:00"/>
    <x v="0"/>
    <x v="6"/>
    <x v="5"/>
    <x v="6"/>
    <n v="26871"/>
    <x v="55"/>
    <n v="130458.04"/>
    <x v="55"/>
    <x v="3"/>
    <n v="19.083745797824172"/>
    <s v="Medium"/>
    <x v="2"/>
    <n v="2025"/>
  </r>
  <r>
    <s v="ORD0057"/>
    <d v="2025-08-08T00:00:00"/>
    <x v="2"/>
    <x v="1"/>
    <x v="5"/>
    <x v="9"/>
    <n v="40838"/>
    <x v="56"/>
    <n v="94425.41"/>
    <x v="56"/>
    <x v="2"/>
    <n v="22.926841014088186"/>
    <s v="Medium"/>
    <x v="2"/>
    <n v="2025"/>
  </r>
  <r>
    <s v="ORD0058"/>
    <d v="2025-08-09T00:00:00"/>
    <x v="3"/>
    <x v="7"/>
    <x v="2"/>
    <x v="5"/>
    <n v="38509"/>
    <x v="57"/>
    <n v="210797.85"/>
    <x v="57"/>
    <x v="3"/>
    <n v="21.800154323850084"/>
    <s v="High"/>
    <x v="2"/>
    <n v="2025"/>
  </r>
  <r>
    <s v="ORD0059"/>
    <d v="2025-08-10T00:00:00"/>
    <x v="0"/>
    <x v="3"/>
    <x v="1"/>
    <x v="3"/>
    <n v="34000"/>
    <x v="58"/>
    <n v="100906"/>
    <x v="58"/>
    <x v="2"/>
    <n v="25.804411764705883"/>
    <s v="Medium"/>
    <x v="2"/>
    <n v="2025"/>
  </r>
  <r>
    <s v="ORD0060"/>
    <d v="2025-08-11T00:00:00"/>
    <x v="0"/>
    <x v="5"/>
    <x v="1"/>
    <x v="4"/>
    <n v="22466"/>
    <x v="59"/>
    <n v="141090.10999999999"/>
    <x v="59"/>
    <x v="1"/>
    <n v="37.198384225051193"/>
    <s v="High"/>
    <x v="2"/>
    <n v="2025"/>
  </r>
  <r>
    <s v="ORD0061"/>
    <d v="2025-08-12T00:00:00"/>
    <x v="2"/>
    <x v="3"/>
    <x v="2"/>
    <x v="0"/>
    <n v="3528"/>
    <x v="60"/>
    <n v="2375.94"/>
    <x v="60"/>
    <x v="3"/>
    <n v="32.654761904761905"/>
    <s v="Low"/>
    <x v="2"/>
    <n v="2025"/>
  </r>
  <r>
    <s v="ORD0062"/>
    <d v="2025-08-13T00:00:00"/>
    <x v="2"/>
    <x v="7"/>
    <x v="1"/>
    <x v="4"/>
    <n v="13242"/>
    <x v="61"/>
    <n v="107989.01"/>
    <x v="61"/>
    <x v="3"/>
    <n v="18.449622413532701"/>
    <s v="Medium"/>
    <x v="2"/>
    <n v="2025"/>
  </r>
  <r>
    <s v="ORD0063"/>
    <d v="2025-08-14T00:00:00"/>
    <x v="1"/>
    <x v="2"/>
    <x v="2"/>
    <x v="0"/>
    <n v="49715"/>
    <x v="62"/>
    <n v="42662.04"/>
    <x v="62"/>
    <x v="1"/>
    <n v="14.186784672634015"/>
    <s v="Low"/>
    <x v="2"/>
    <n v="2025"/>
  </r>
  <r>
    <s v="ORD0064"/>
    <d v="2025-08-15T00:00:00"/>
    <x v="0"/>
    <x v="3"/>
    <x v="1"/>
    <x v="1"/>
    <n v="30944"/>
    <x v="63"/>
    <n v="171293.29"/>
    <x v="63"/>
    <x v="3"/>
    <n v="38.493446943582676"/>
    <s v="High"/>
    <x v="2"/>
    <n v="2025"/>
  </r>
  <r>
    <s v="ORD0065"/>
    <d v="2025-08-16T00:00:00"/>
    <x v="2"/>
    <x v="2"/>
    <x v="5"/>
    <x v="1"/>
    <n v="37129"/>
    <x v="64"/>
    <n v="260189.68"/>
    <x v="64"/>
    <x v="3"/>
    <n v="22.136431241228031"/>
    <s v="High"/>
    <x v="2"/>
    <n v="2025"/>
  </r>
  <r>
    <s v="ORD0066"/>
    <d v="2025-08-17T00:00:00"/>
    <x v="0"/>
    <x v="5"/>
    <x v="1"/>
    <x v="7"/>
    <n v="29995"/>
    <x v="65"/>
    <n v="162634.68"/>
    <x v="65"/>
    <x v="3"/>
    <n v="32.224254042340391"/>
    <s v="High"/>
    <x v="2"/>
    <n v="2025"/>
  </r>
  <r>
    <s v="ORD0067"/>
    <d v="2025-08-18T00:00:00"/>
    <x v="3"/>
    <x v="6"/>
    <x v="2"/>
    <x v="2"/>
    <n v="29327"/>
    <x v="66"/>
    <n v="91389.53"/>
    <x v="66"/>
    <x v="2"/>
    <n v="37.675500392130118"/>
    <s v="Medium"/>
    <x v="2"/>
    <n v="2025"/>
  </r>
  <r>
    <s v="ORD0068"/>
    <d v="2025-08-19T00:00:00"/>
    <x v="0"/>
    <x v="2"/>
    <x v="4"/>
    <x v="1"/>
    <n v="5780"/>
    <x v="67"/>
    <n v="33371.47"/>
    <x v="67"/>
    <x v="1"/>
    <n v="35.848769703960016"/>
    <s v="Low"/>
    <x v="2"/>
    <n v="2025"/>
  </r>
  <r>
    <s v="ORD0069"/>
    <d v="2025-08-20T00:00:00"/>
    <x v="2"/>
    <x v="2"/>
    <x v="2"/>
    <x v="8"/>
    <n v="27688"/>
    <x v="68"/>
    <n v="39996.97"/>
    <x v="68"/>
    <x v="0"/>
    <n v="27.772013146489456"/>
    <s v="Low"/>
    <x v="2"/>
    <n v="2025"/>
  </r>
  <r>
    <s v="ORD0070"/>
    <d v="2025-08-21T00:00:00"/>
    <x v="1"/>
    <x v="2"/>
    <x v="5"/>
    <x v="5"/>
    <n v="38778"/>
    <x v="69"/>
    <n v="239909.03"/>
    <x v="69"/>
    <x v="3"/>
    <n v="11.618137677475447"/>
    <s v="High"/>
    <x v="2"/>
    <n v="2025"/>
  </r>
  <r>
    <s v="ORD0071"/>
    <d v="2025-08-22T00:00:00"/>
    <x v="2"/>
    <x v="6"/>
    <x v="4"/>
    <x v="2"/>
    <n v="49879"/>
    <x v="70"/>
    <n v="178815.22"/>
    <x v="70"/>
    <x v="3"/>
    <n v="28.300398965496505"/>
    <s v="High"/>
    <x v="2"/>
    <n v="2025"/>
  </r>
  <r>
    <s v="ORD0072"/>
    <d v="2025-08-23T00:00:00"/>
    <x v="3"/>
    <x v="2"/>
    <x v="4"/>
    <x v="5"/>
    <n v="32327"/>
    <x v="71"/>
    <n v="137743.79999999999"/>
    <x v="71"/>
    <x v="1"/>
    <n v="39.129255067634752"/>
    <s v="High"/>
    <x v="2"/>
    <n v="2025"/>
  </r>
  <r>
    <s v="ORD0073"/>
    <d v="2025-08-24T00:00:00"/>
    <x v="2"/>
    <x v="1"/>
    <x v="2"/>
    <x v="4"/>
    <n v="35504"/>
    <x v="72"/>
    <n v="215896.25"/>
    <x v="72"/>
    <x v="0"/>
    <n v="39.191006647138352"/>
    <s v="High"/>
    <x v="2"/>
    <n v="2025"/>
  </r>
  <r>
    <s v="ORD0074"/>
    <d v="2025-08-25T00:00:00"/>
    <x v="3"/>
    <x v="2"/>
    <x v="5"/>
    <x v="9"/>
    <n v="30757"/>
    <x v="73"/>
    <n v="60393.1"/>
    <x v="73"/>
    <x v="2"/>
    <n v="34.548124546173767"/>
    <s v="Low"/>
    <x v="2"/>
    <n v="2025"/>
  </r>
  <r>
    <s v="ORD0075"/>
    <d v="2025-08-26T00:00:00"/>
    <x v="2"/>
    <x v="5"/>
    <x v="5"/>
    <x v="6"/>
    <n v="22618"/>
    <x v="74"/>
    <n v="112416.29"/>
    <x v="74"/>
    <x v="3"/>
    <n v="17.163107554455152"/>
    <s v="Medium"/>
    <x v="2"/>
    <n v="2025"/>
  </r>
  <r>
    <s v="ORD0076"/>
    <d v="2025-08-27T00:00:00"/>
    <x v="1"/>
    <x v="4"/>
    <x v="0"/>
    <x v="7"/>
    <n v="1770"/>
    <x v="75"/>
    <n v="11677.86"/>
    <x v="75"/>
    <x v="1"/>
    <n v="17.529237288135594"/>
    <s v="Low"/>
    <x v="2"/>
    <n v="2025"/>
  </r>
  <r>
    <s v="ORD0077"/>
    <d v="2025-08-28T00:00:00"/>
    <x v="0"/>
    <x v="6"/>
    <x v="0"/>
    <x v="0"/>
    <n v="49929"/>
    <x v="76"/>
    <n v="30422.19"/>
    <x v="76"/>
    <x v="0"/>
    <n v="39.069098119329446"/>
    <s v="Low"/>
    <x v="2"/>
    <n v="2025"/>
  </r>
  <r>
    <s v="ORD0078"/>
    <d v="2025-08-29T00:00:00"/>
    <x v="1"/>
    <x v="6"/>
    <x v="2"/>
    <x v="3"/>
    <n v="8772"/>
    <x v="77"/>
    <n v="26037.69"/>
    <x v="77"/>
    <x v="3"/>
    <n v="25.793177154582764"/>
    <s v="Low"/>
    <x v="2"/>
    <n v="2025"/>
  </r>
  <r>
    <s v="ORD0079"/>
    <d v="2025-08-30T00:00:00"/>
    <x v="1"/>
    <x v="0"/>
    <x v="4"/>
    <x v="6"/>
    <n v="11496"/>
    <x v="78"/>
    <n v="53923.22"/>
    <x v="78"/>
    <x v="2"/>
    <n v="21.823213871491536"/>
    <s v="Low"/>
    <x v="2"/>
    <n v="2025"/>
  </r>
  <r>
    <s v="ORD0080"/>
    <d v="2025-08-31T00:00:00"/>
    <x v="2"/>
    <x v="2"/>
    <x v="3"/>
    <x v="0"/>
    <n v="20944"/>
    <x v="79"/>
    <n v="16184.25"/>
    <x v="79"/>
    <x v="1"/>
    <n v="22.726079067990831"/>
    <s v="Low"/>
    <x v="2"/>
    <n v="2025"/>
  </r>
  <r>
    <s v="ORD0081"/>
    <d v="2025-09-01T00:00:00"/>
    <x v="3"/>
    <x v="3"/>
    <x v="3"/>
    <x v="3"/>
    <n v="7178"/>
    <x v="80"/>
    <n v="23232.54"/>
    <x v="80"/>
    <x v="0"/>
    <n v="19.084215658957927"/>
    <s v="Low"/>
    <x v="3"/>
    <n v="2025"/>
  </r>
  <r>
    <s v="ORD0082"/>
    <d v="2025-09-02T00:00:00"/>
    <x v="3"/>
    <x v="1"/>
    <x v="3"/>
    <x v="5"/>
    <n v="43853"/>
    <x v="81"/>
    <n v="218308.95"/>
    <x v="81"/>
    <x v="3"/>
    <n v="28.882874929553608"/>
    <s v="High"/>
    <x v="3"/>
    <n v="2025"/>
  </r>
  <r>
    <s v="ORD0083"/>
    <d v="2025-09-03T00:00:00"/>
    <x v="2"/>
    <x v="0"/>
    <x v="0"/>
    <x v="5"/>
    <n v="24236"/>
    <x v="82"/>
    <n v="134139.69"/>
    <x v="82"/>
    <x v="3"/>
    <n v="20.932444061962133"/>
    <s v="Medium"/>
    <x v="3"/>
    <n v="2025"/>
  </r>
  <r>
    <s v="ORD0084"/>
    <d v="2025-09-04T00:00:00"/>
    <x v="2"/>
    <x v="7"/>
    <x v="1"/>
    <x v="1"/>
    <n v="43128"/>
    <x v="83"/>
    <n v="264341.11"/>
    <x v="83"/>
    <x v="3"/>
    <n v="31.897527257363095"/>
    <s v="High"/>
    <x v="3"/>
    <n v="2025"/>
  </r>
  <r>
    <s v="ORD0085"/>
    <d v="2025-09-05T00:00:00"/>
    <x v="1"/>
    <x v="5"/>
    <x v="4"/>
    <x v="6"/>
    <n v="16588"/>
    <x v="84"/>
    <n v="84521.1"/>
    <x v="84"/>
    <x v="3"/>
    <n v="15.078068483240898"/>
    <s v="Low"/>
    <x v="3"/>
    <n v="2025"/>
  </r>
  <r>
    <s v="ORD0086"/>
    <d v="2025-09-06T00:00:00"/>
    <x v="3"/>
    <x v="1"/>
    <x v="5"/>
    <x v="4"/>
    <n v="40498"/>
    <x v="85"/>
    <n v="324168.89"/>
    <x v="85"/>
    <x v="3"/>
    <n v="19.954345893624374"/>
    <s v="High"/>
    <x v="3"/>
    <n v="2025"/>
  </r>
  <r>
    <s v="ORD0087"/>
    <d v="2025-09-07T00:00:00"/>
    <x v="3"/>
    <x v="4"/>
    <x v="2"/>
    <x v="7"/>
    <n v="14401"/>
    <x v="86"/>
    <n v="81388.399999999994"/>
    <x v="86"/>
    <x v="2"/>
    <n v="29.355253107423096"/>
    <s v="Medium"/>
    <x v="3"/>
    <n v="2025"/>
  </r>
  <r>
    <s v="ORD0088"/>
    <d v="2025-09-08T00:00:00"/>
    <x v="0"/>
    <x v="3"/>
    <x v="1"/>
    <x v="2"/>
    <n v="36924"/>
    <x v="87"/>
    <n v="111334.23"/>
    <x v="87"/>
    <x v="1"/>
    <n v="39.69546636334092"/>
    <s v="Medium"/>
    <x v="3"/>
    <n v="2025"/>
  </r>
  <r>
    <s v="ORD0089"/>
    <d v="2025-09-09T00:00:00"/>
    <x v="2"/>
    <x v="7"/>
    <x v="5"/>
    <x v="1"/>
    <n v="16249"/>
    <x v="88"/>
    <n v="118043.22"/>
    <x v="88"/>
    <x v="0"/>
    <n v="19.281719900711838"/>
    <s v="Medium"/>
    <x v="3"/>
    <n v="2025"/>
  </r>
  <r>
    <s v="ORD0090"/>
    <d v="2025-09-10T00:00:00"/>
    <x v="3"/>
    <x v="4"/>
    <x v="4"/>
    <x v="3"/>
    <n v="27002"/>
    <x v="89"/>
    <n v="87220.36"/>
    <x v="89"/>
    <x v="3"/>
    <n v="19.246389156358788"/>
    <s v="Medium"/>
    <x v="3"/>
    <n v="2025"/>
  </r>
  <r>
    <s v="ORD0091"/>
    <d v="2025-09-11T00:00:00"/>
    <x v="3"/>
    <x v="4"/>
    <x v="3"/>
    <x v="6"/>
    <n v="28385"/>
    <x v="90"/>
    <n v="153106.89000000001"/>
    <x v="90"/>
    <x v="3"/>
    <n v="10.10105689624802"/>
    <s v="Medium"/>
    <x v="3"/>
    <n v="2025"/>
  </r>
  <r>
    <s v="ORD0092"/>
    <d v="2025-09-12T00:00:00"/>
    <x v="0"/>
    <x v="4"/>
    <x v="4"/>
    <x v="2"/>
    <n v="15608"/>
    <x v="91"/>
    <n v="49648.800000000003"/>
    <x v="91"/>
    <x v="0"/>
    <n v="36.380317785750897"/>
    <s v="Low"/>
    <x v="3"/>
    <n v="2025"/>
  </r>
  <r>
    <s v="ORD0093"/>
    <d v="2025-09-13T00:00:00"/>
    <x v="2"/>
    <x v="5"/>
    <x v="1"/>
    <x v="9"/>
    <n v="13052"/>
    <x v="92"/>
    <n v="26035.43"/>
    <x v="92"/>
    <x v="2"/>
    <n v="33.50845336602309"/>
    <s v="Low"/>
    <x v="3"/>
    <n v="2025"/>
  </r>
  <r>
    <s v="ORD0094"/>
    <d v="2025-09-14T00:00:00"/>
    <x v="3"/>
    <x v="1"/>
    <x v="2"/>
    <x v="2"/>
    <n v="15408"/>
    <x v="93"/>
    <n v="54564.68"/>
    <x v="93"/>
    <x v="1"/>
    <n v="29.173572170301142"/>
    <s v="Low"/>
    <x v="3"/>
    <n v="2025"/>
  </r>
  <r>
    <s v="ORD0095"/>
    <d v="2025-09-15T00:00:00"/>
    <x v="0"/>
    <x v="7"/>
    <x v="0"/>
    <x v="0"/>
    <n v="36764"/>
    <x v="94"/>
    <n v="25280.43"/>
    <x v="94"/>
    <x v="0"/>
    <n v="31.235910129474487"/>
    <s v="Low"/>
    <x v="3"/>
    <n v="2025"/>
  </r>
  <r>
    <s v="ORD0096"/>
    <d v="2025-09-16T00:00:00"/>
    <x v="3"/>
    <x v="0"/>
    <x v="3"/>
    <x v="2"/>
    <n v="31262"/>
    <x v="95"/>
    <n v="116234.35"/>
    <x v="95"/>
    <x v="0"/>
    <n v="25.638570788817095"/>
    <s v="Medium"/>
    <x v="3"/>
    <n v="2025"/>
  </r>
  <r>
    <s v="ORD0097"/>
    <d v="2025-09-17T00:00:00"/>
    <x v="1"/>
    <x v="1"/>
    <x v="5"/>
    <x v="8"/>
    <n v="4782"/>
    <x v="96"/>
    <n v="6888.11"/>
    <x v="96"/>
    <x v="1"/>
    <n v="27.978774571309074"/>
    <s v="Low"/>
    <x v="3"/>
    <n v="2025"/>
  </r>
  <r>
    <s v="ORD0098"/>
    <d v="2025-09-18T00:00:00"/>
    <x v="1"/>
    <x v="2"/>
    <x v="3"/>
    <x v="2"/>
    <n v="6082"/>
    <x v="97"/>
    <n v="27313.52"/>
    <x v="97"/>
    <x v="1"/>
    <n v="10.182439986846433"/>
    <s v="Low"/>
    <x v="3"/>
    <n v="2025"/>
  </r>
  <r>
    <s v="ORD0099"/>
    <d v="2025-09-19T00:00:00"/>
    <x v="2"/>
    <x v="5"/>
    <x v="5"/>
    <x v="7"/>
    <n v="29514"/>
    <x v="98"/>
    <n v="162729.79"/>
    <x v="98"/>
    <x v="0"/>
    <n v="31.079407230466899"/>
    <s v="High"/>
    <x v="3"/>
    <n v="2025"/>
  </r>
  <r>
    <s v="ORD0100"/>
    <d v="2025-09-20T00:00:00"/>
    <x v="3"/>
    <x v="3"/>
    <x v="1"/>
    <x v="8"/>
    <n v="14117"/>
    <x v="99"/>
    <n v="22238.639999999999"/>
    <x v="99"/>
    <x v="1"/>
    <n v="21.234539916412835"/>
    <s v="Low"/>
    <x v="3"/>
    <n v="2025"/>
  </r>
  <r>
    <s v="ORD0101"/>
    <d v="2025-09-21T00:00:00"/>
    <x v="2"/>
    <x v="7"/>
    <x v="2"/>
    <x v="1"/>
    <n v="5419"/>
    <x v="100"/>
    <n v="31552.880000000001"/>
    <x v="100"/>
    <x v="3"/>
    <n v="35.304012630456619"/>
    <s v="Low"/>
    <x v="3"/>
    <n v="2025"/>
  </r>
  <r>
    <s v="ORD0102"/>
    <d v="2025-09-22T00:00:00"/>
    <x v="2"/>
    <x v="3"/>
    <x v="0"/>
    <x v="3"/>
    <n v="19381"/>
    <x v="101"/>
    <n v="62956.21"/>
    <x v="101"/>
    <x v="1"/>
    <n v="18.79132913678345"/>
    <s v="Low"/>
    <x v="3"/>
    <n v="2025"/>
  </r>
  <r>
    <s v="ORD0103"/>
    <d v="2025-09-23T00:00:00"/>
    <x v="0"/>
    <x v="2"/>
    <x v="1"/>
    <x v="4"/>
    <n v="43831"/>
    <x v="102"/>
    <n v="368693.97"/>
    <x v="102"/>
    <x v="0"/>
    <n v="15.882829504232166"/>
    <s v="High"/>
    <x v="3"/>
    <n v="2025"/>
  </r>
  <r>
    <s v="ORD0104"/>
    <d v="2025-09-24T00:00:00"/>
    <x v="1"/>
    <x v="1"/>
    <x v="2"/>
    <x v="9"/>
    <n v="17908"/>
    <x v="103"/>
    <n v="45557.38"/>
    <x v="103"/>
    <x v="1"/>
    <n v="15.2010647010647"/>
    <s v="Low"/>
    <x v="3"/>
    <n v="2025"/>
  </r>
  <r>
    <s v="ORD0105"/>
    <d v="2025-09-25T00:00:00"/>
    <x v="2"/>
    <x v="5"/>
    <x v="3"/>
    <x v="4"/>
    <n v="19414"/>
    <x v="104"/>
    <n v="142061.18"/>
    <x v="104"/>
    <x v="3"/>
    <n v="26.82539404553415"/>
    <s v="Medium"/>
    <x v="3"/>
    <n v="2025"/>
  </r>
  <r>
    <s v="ORD0106"/>
    <d v="2025-09-26T00:00:00"/>
    <x v="1"/>
    <x v="2"/>
    <x v="3"/>
    <x v="1"/>
    <n v="32861"/>
    <x v="105"/>
    <n v="216289.42"/>
    <x v="105"/>
    <x v="2"/>
    <n v="26.867235392173772"/>
    <s v="High"/>
    <x v="3"/>
    <n v="2025"/>
  </r>
  <r>
    <s v="ORD0107"/>
    <d v="2025-09-27T00:00:00"/>
    <x v="1"/>
    <x v="5"/>
    <x v="4"/>
    <x v="0"/>
    <n v="6485"/>
    <x v="106"/>
    <n v="4336.37"/>
    <x v="106"/>
    <x v="0"/>
    <n v="33.132305319969163"/>
    <s v="Low"/>
    <x v="3"/>
    <n v="2025"/>
  </r>
  <r>
    <s v="ORD0108"/>
    <d v="2025-09-28T00:00:00"/>
    <x v="3"/>
    <x v="0"/>
    <x v="5"/>
    <x v="1"/>
    <n v="43197"/>
    <x v="107"/>
    <n v="284841.86"/>
    <x v="107"/>
    <x v="3"/>
    <n v="26.73311675450713"/>
    <s v="High"/>
    <x v="3"/>
    <n v="2025"/>
  </r>
  <r>
    <s v="ORD0109"/>
    <d v="2025-09-29T00:00:00"/>
    <x v="3"/>
    <x v="4"/>
    <x v="5"/>
    <x v="8"/>
    <n v="31302"/>
    <x v="108"/>
    <n v="44097.53"/>
    <x v="108"/>
    <x v="0"/>
    <n v="29.561162226055842"/>
    <s v="Low"/>
    <x v="3"/>
    <n v="2025"/>
  </r>
  <r>
    <s v="ORD0110"/>
    <d v="2025-09-30T00:00:00"/>
    <x v="2"/>
    <x v="1"/>
    <x v="4"/>
    <x v="5"/>
    <n v="45960"/>
    <x v="109"/>
    <n v="240852.69"/>
    <x v="109"/>
    <x v="3"/>
    <n v="25.135928757926145"/>
    <s v="High"/>
    <x v="3"/>
    <n v="2025"/>
  </r>
  <r>
    <s v="ORD0111"/>
    <d v="2025-10-01T00:00:00"/>
    <x v="2"/>
    <x v="1"/>
    <x v="4"/>
    <x v="2"/>
    <n v="21686"/>
    <x v="110"/>
    <n v="68828.81"/>
    <x v="110"/>
    <x v="3"/>
    <n v="36.522355436687263"/>
    <s v="Medium"/>
    <x v="4"/>
    <n v="2025"/>
  </r>
  <r>
    <s v="ORD0112"/>
    <d v="2025-10-02T00:00:00"/>
    <x v="2"/>
    <x v="7"/>
    <x v="0"/>
    <x v="3"/>
    <n v="34476"/>
    <x v="111"/>
    <n v="97709.65"/>
    <x v="111"/>
    <x v="0"/>
    <n v="29.146616486831416"/>
    <s v="Medium"/>
    <x v="4"/>
    <n v="2025"/>
  </r>
  <r>
    <s v="ORD0113"/>
    <d v="2025-10-03T00:00:00"/>
    <x v="2"/>
    <x v="7"/>
    <x v="4"/>
    <x v="1"/>
    <n v="9086"/>
    <x v="112"/>
    <n v="71822.25"/>
    <x v="112"/>
    <x v="0"/>
    <n v="12.169821703720009"/>
    <s v="Low"/>
    <x v="4"/>
    <n v="2025"/>
  </r>
  <r>
    <s v="ORD0114"/>
    <d v="2025-10-04T00:00:00"/>
    <x v="3"/>
    <x v="1"/>
    <x v="1"/>
    <x v="4"/>
    <n v="16182"/>
    <x v="113"/>
    <n v="131549.12"/>
    <x v="113"/>
    <x v="3"/>
    <n v="18.706513409961687"/>
    <s v="Medium"/>
    <x v="4"/>
    <n v="2025"/>
  </r>
  <r>
    <s v="ORD0115"/>
    <d v="2025-10-05T00:00:00"/>
    <x v="0"/>
    <x v="7"/>
    <x v="2"/>
    <x v="8"/>
    <n v="30741"/>
    <x v="114"/>
    <n v="54357.36"/>
    <x v="114"/>
    <x v="2"/>
    <n v="11.588172147945741"/>
    <s v="Low"/>
    <x v="4"/>
    <n v="2025"/>
  </r>
  <r>
    <s v="ORD0116"/>
    <d v="2025-10-06T00:00:00"/>
    <x v="2"/>
    <x v="6"/>
    <x v="1"/>
    <x v="2"/>
    <n v="27729"/>
    <x v="115"/>
    <n v="117906.09"/>
    <x v="115"/>
    <x v="3"/>
    <n v="14.95828194309207"/>
    <s v="Medium"/>
    <x v="4"/>
    <n v="2025"/>
  </r>
  <r>
    <s v="ORD0117"/>
    <d v="2025-10-07T00:00:00"/>
    <x v="0"/>
    <x v="3"/>
    <x v="2"/>
    <x v="5"/>
    <n v="12991"/>
    <x v="116"/>
    <n v="79711.78"/>
    <x v="116"/>
    <x v="2"/>
    <n v="12.343952406611169"/>
    <s v="Low"/>
    <x v="4"/>
    <n v="2025"/>
  </r>
  <r>
    <s v="ORD0118"/>
    <d v="2025-10-08T00:00:00"/>
    <x v="3"/>
    <x v="5"/>
    <x v="4"/>
    <x v="1"/>
    <n v="18009"/>
    <x v="117"/>
    <n v="137147.24"/>
    <x v="117"/>
    <x v="3"/>
    <n v="15.383518117484465"/>
    <s v="Medium"/>
    <x v="4"/>
    <n v="2025"/>
  </r>
  <r>
    <s v="ORD0119"/>
    <d v="2025-10-09T00:00:00"/>
    <x v="2"/>
    <x v="7"/>
    <x v="5"/>
    <x v="1"/>
    <n v="32241"/>
    <x v="118"/>
    <n v="204144.68"/>
    <x v="118"/>
    <x v="2"/>
    <n v="29.646281994286088"/>
    <s v="High"/>
    <x v="4"/>
    <n v="2025"/>
  </r>
  <r>
    <s v="ORD0120"/>
    <d v="2025-10-10T00:00:00"/>
    <x v="2"/>
    <x v="1"/>
    <x v="1"/>
    <x v="3"/>
    <n v="37973"/>
    <x v="119"/>
    <n v="108586.26"/>
    <x v="119"/>
    <x v="2"/>
    <n v="28.510876148842595"/>
    <s v="Medium"/>
    <x v="4"/>
    <n v="2025"/>
  </r>
  <r>
    <s v="ORD0121"/>
    <d v="2025-10-11T00:00:00"/>
    <x v="0"/>
    <x v="7"/>
    <x v="1"/>
    <x v="5"/>
    <n v="25802"/>
    <x v="120"/>
    <n v="161924.82"/>
    <x v="120"/>
    <x v="0"/>
    <n v="10.347581029156101"/>
    <s v="Medium"/>
    <x v="4"/>
    <n v="2025"/>
  </r>
  <r>
    <s v="ORD0122"/>
    <d v="2025-10-12T00:00:00"/>
    <x v="2"/>
    <x v="3"/>
    <x v="3"/>
    <x v="4"/>
    <n v="22257"/>
    <x v="121"/>
    <n v="191612.76"/>
    <x v="121"/>
    <x v="3"/>
    <n v="13.908990429977086"/>
    <s v="High"/>
    <x v="4"/>
    <n v="2025"/>
  </r>
  <r>
    <s v="ORD0123"/>
    <d v="2025-10-13T00:00:00"/>
    <x v="0"/>
    <x v="3"/>
    <x v="1"/>
    <x v="9"/>
    <n v="27368"/>
    <x v="122"/>
    <n v="70714.52"/>
    <x v="122"/>
    <x v="3"/>
    <n v="13.872015979733021"/>
    <s v="Low"/>
    <x v="4"/>
    <n v="2025"/>
  </r>
  <r>
    <s v="ORD0124"/>
    <d v="2025-10-14T00:00:00"/>
    <x v="1"/>
    <x v="4"/>
    <x v="4"/>
    <x v="4"/>
    <n v="45897"/>
    <x v="123"/>
    <n v="330111.88"/>
    <x v="123"/>
    <x v="3"/>
    <n v="28.075499487983961"/>
    <s v="High"/>
    <x v="4"/>
    <n v="2025"/>
  </r>
  <r>
    <s v="ORD0125"/>
    <d v="2025-10-15T00:00:00"/>
    <x v="1"/>
    <x v="6"/>
    <x v="1"/>
    <x v="7"/>
    <n v="35956"/>
    <x v="124"/>
    <n v="175686.69"/>
    <x v="124"/>
    <x v="2"/>
    <n v="38.923027450216928"/>
    <s v="High"/>
    <x v="4"/>
    <n v="2025"/>
  </r>
  <r>
    <s v="ORD0126"/>
    <d v="2025-10-16T00:00:00"/>
    <x v="1"/>
    <x v="7"/>
    <x v="1"/>
    <x v="8"/>
    <n v="28940"/>
    <x v="125"/>
    <n v="51715.86"/>
    <x v="125"/>
    <x v="1"/>
    <n v="10.649861782999309"/>
    <s v="Low"/>
    <x v="4"/>
    <n v="2025"/>
  </r>
  <r>
    <s v="ORD0127"/>
    <d v="2025-10-17T00:00:00"/>
    <x v="1"/>
    <x v="5"/>
    <x v="4"/>
    <x v="0"/>
    <n v="3514"/>
    <x v="126"/>
    <n v="2450.36"/>
    <x v="126"/>
    <x v="2"/>
    <n v="30.268639726807063"/>
    <s v="Low"/>
    <x v="4"/>
    <n v="2025"/>
  </r>
  <r>
    <s v="ORD0128"/>
    <d v="2025-10-18T00:00:00"/>
    <x v="0"/>
    <x v="0"/>
    <x v="5"/>
    <x v="9"/>
    <n v="16503"/>
    <x v="127"/>
    <n v="37594.65"/>
    <x v="127"/>
    <x v="1"/>
    <n v="24.065018481488217"/>
    <s v="Low"/>
    <x v="4"/>
    <n v="2025"/>
  </r>
  <r>
    <s v="ORD0129"/>
    <d v="2025-10-19T00:00:00"/>
    <x v="2"/>
    <x v="0"/>
    <x v="3"/>
    <x v="5"/>
    <n v="41113"/>
    <x v="128"/>
    <n v="231654.6"/>
    <x v="128"/>
    <x v="1"/>
    <n v="19.505960923030948"/>
    <s v="High"/>
    <x v="4"/>
    <n v="2025"/>
  </r>
  <r>
    <s v="ORD0130"/>
    <d v="2025-10-20T00:00:00"/>
    <x v="1"/>
    <x v="7"/>
    <x v="1"/>
    <x v="2"/>
    <n v="30618"/>
    <x v="129"/>
    <n v="103580.39"/>
    <x v="129"/>
    <x v="2"/>
    <n v="32.340198576001043"/>
    <s v="Medium"/>
    <x v="4"/>
    <n v="2025"/>
  </r>
  <r>
    <s v="ORD0131"/>
    <d v="2025-10-21T00:00:00"/>
    <x v="3"/>
    <x v="5"/>
    <x v="3"/>
    <x v="9"/>
    <n v="5340"/>
    <x v="130"/>
    <n v="11734.95"/>
    <x v="130"/>
    <x v="3"/>
    <n v="26.748127340823974"/>
    <s v="Low"/>
    <x v="4"/>
    <n v="2025"/>
  </r>
  <r>
    <s v="ORD0132"/>
    <d v="2025-10-22T00:00:00"/>
    <x v="2"/>
    <x v="7"/>
    <x v="4"/>
    <x v="7"/>
    <n v="20299"/>
    <x v="131"/>
    <n v="107140.57"/>
    <x v="131"/>
    <x v="0"/>
    <n v="34.023492536578161"/>
    <s v="Medium"/>
    <x v="4"/>
    <n v="2025"/>
  </r>
  <r>
    <s v="ORD0133"/>
    <d v="2025-10-23T00:00:00"/>
    <x v="3"/>
    <x v="1"/>
    <x v="5"/>
    <x v="4"/>
    <n v="24024"/>
    <x v="132"/>
    <n v="185571.85"/>
    <x v="132"/>
    <x v="3"/>
    <n v="22.755640193140195"/>
    <s v="High"/>
    <x v="4"/>
    <n v="2025"/>
  </r>
  <r>
    <s v="ORD0134"/>
    <d v="2025-10-24T00:00:00"/>
    <x v="1"/>
    <x v="7"/>
    <x v="0"/>
    <x v="4"/>
    <n v="45444"/>
    <x v="133"/>
    <n v="378772.78"/>
    <x v="133"/>
    <x v="2"/>
    <n v="16.650651351113456"/>
    <s v="High"/>
    <x v="4"/>
    <n v="2025"/>
  </r>
  <r>
    <s v="ORD0135"/>
    <d v="2025-10-25T00:00:00"/>
    <x v="3"/>
    <x v="0"/>
    <x v="3"/>
    <x v="6"/>
    <n v="14852"/>
    <x v="134"/>
    <n v="70486.289999999994"/>
    <x v="134"/>
    <x v="0"/>
    <n v="20.901461082682466"/>
    <s v="Low"/>
    <x v="4"/>
    <n v="2025"/>
  </r>
  <r>
    <s v="ORD0136"/>
    <d v="2025-10-26T00:00:00"/>
    <x v="1"/>
    <x v="4"/>
    <x v="1"/>
    <x v="0"/>
    <n v="20746"/>
    <x v="135"/>
    <n v="17355.75"/>
    <x v="135"/>
    <x v="1"/>
    <n v="16.341704424949388"/>
    <s v="Low"/>
    <x v="4"/>
    <n v="2025"/>
  </r>
  <r>
    <s v="ORD0137"/>
    <d v="2025-10-27T00:00:00"/>
    <x v="0"/>
    <x v="0"/>
    <x v="4"/>
    <x v="6"/>
    <n v="49486"/>
    <x v="136"/>
    <n v="215160.45"/>
    <x v="136"/>
    <x v="2"/>
    <n v="27.534908863112801"/>
    <s v="High"/>
    <x v="4"/>
    <n v="2025"/>
  </r>
  <r>
    <s v="ORD0138"/>
    <d v="2025-10-28T00:00:00"/>
    <x v="2"/>
    <x v="5"/>
    <x v="3"/>
    <x v="2"/>
    <n v="11283"/>
    <x v="137"/>
    <n v="38198.089999999997"/>
    <x v="137"/>
    <x v="2"/>
    <n v="32.290897810865907"/>
    <s v="Low"/>
    <x v="4"/>
    <n v="2025"/>
  </r>
  <r>
    <s v="ORD0139"/>
    <d v="2025-10-29T00:00:00"/>
    <x v="0"/>
    <x v="2"/>
    <x v="5"/>
    <x v="8"/>
    <n v="9724"/>
    <x v="138"/>
    <n v="16068.82"/>
    <x v="138"/>
    <x v="2"/>
    <n v="17.375462772521598"/>
    <s v="Low"/>
    <x v="4"/>
    <n v="2025"/>
  </r>
  <r>
    <s v="ORD0140"/>
    <d v="2025-10-30T00:00:00"/>
    <x v="2"/>
    <x v="4"/>
    <x v="5"/>
    <x v="0"/>
    <n v="17831"/>
    <x v="139"/>
    <n v="13568.89"/>
    <x v="139"/>
    <x v="2"/>
    <n v="23.902809713420446"/>
    <s v="Low"/>
    <x v="4"/>
    <n v="2025"/>
  </r>
  <r>
    <s v="ORD0141"/>
    <d v="2025-10-31T00:00:00"/>
    <x v="2"/>
    <x v="1"/>
    <x v="5"/>
    <x v="6"/>
    <n v="7600"/>
    <x v="140"/>
    <n v="36591.760000000002"/>
    <x v="140"/>
    <x v="2"/>
    <n v="19.754912280701753"/>
    <s v="Low"/>
    <x v="4"/>
    <n v="2025"/>
  </r>
  <r>
    <s v="ORD0142"/>
    <d v="2025-11-01T00:00:00"/>
    <x v="3"/>
    <x v="2"/>
    <x v="2"/>
    <x v="8"/>
    <n v="42141"/>
    <x v="141"/>
    <n v="71400.05"/>
    <x v="141"/>
    <x v="0"/>
    <n v="15.28434303884578"/>
    <s v="Low"/>
    <x v="5"/>
    <n v="2025"/>
  </r>
  <r>
    <s v="ORD0143"/>
    <d v="2025-11-02T00:00:00"/>
    <x v="1"/>
    <x v="3"/>
    <x v="0"/>
    <x v="0"/>
    <n v="20446"/>
    <x v="142"/>
    <n v="18376.419999999998"/>
    <x v="142"/>
    <x v="1"/>
    <n v="10.122175486647755"/>
    <s v="Low"/>
    <x v="5"/>
    <n v="2025"/>
  </r>
  <r>
    <s v="ORD0144"/>
    <d v="2025-11-03T00:00:00"/>
    <x v="2"/>
    <x v="0"/>
    <x v="2"/>
    <x v="5"/>
    <n v="30229"/>
    <x v="143"/>
    <n v="150513.94"/>
    <x v="143"/>
    <x v="3"/>
    <n v="28.869656857416953"/>
    <s v="High"/>
    <x v="5"/>
    <n v="2025"/>
  </r>
  <r>
    <s v="ORD0145"/>
    <d v="2025-11-04T00:00:00"/>
    <x v="3"/>
    <x v="1"/>
    <x v="0"/>
    <x v="7"/>
    <n v="40847"/>
    <x v="144"/>
    <n v="236074.34"/>
    <x v="144"/>
    <x v="2"/>
    <n v="27.756524346953267"/>
    <s v="High"/>
    <x v="5"/>
    <n v="2025"/>
  </r>
  <r>
    <s v="ORD0146"/>
    <d v="2025-11-05T00:00:00"/>
    <x v="1"/>
    <x v="4"/>
    <x v="5"/>
    <x v="7"/>
    <n v="15973"/>
    <x v="145"/>
    <n v="109464.25"/>
    <x v="145"/>
    <x v="2"/>
    <n v="14.336497527076942"/>
    <s v="Medium"/>
    <x v="5"/>
    <n v="2025"/>
  </r>
  <r>
    <s v="ORD0147"/>
    <d v="2025-11-06T00:00:00"/>
    <x v="2"/>
    <x v="3"/>
    <x v="5"/>
    <x v="2"/>
    <n v="12939"/>
    <x v="146"/>
    <n v="57608.44"/>
    <x v="146"/>
    <x v="1"/>
    <n v="10.953798593399799"/>
    <s v="Low"/>
    <x v="5"/>
    <n v="2025"/>
  </r>
  <r>
    <s v="ORD0148"/>
    <d v="2025-11-07T00:00:00"/>
    <x v="3"/>
    <x v="6"/>
    <x v="1"/>
    <x v="4"/>
    <n v="1899"/>
    <x v="147"/>
    <n v="11682.15"/>
    <x v="147"/>
    <x v="1"/>
    <n v="38.482622432859401"/>
    <s v="Low"/>
    <x v="5"/>
    <n v="2025"/>
  </r>
  <r>
    <s v="ORD0149"/>
    <d v="2025-11-08T00:00:00"/>
    <x v="0"/>
    <x v="6"/>
    <x v="2"/>
    <x v="8"/>
    <n v="36820"/>
    <x v="148"/>
    <n v="48760.52"/>
    <x v="148"/>
    <x v="2"/>
    <n v="33.785279739272134"/>
    <s v="Low"/>
    <x v="5"/>
    <n v="2025"/>
  </r>
  <r>
    <s v="ORD0150"/>
    <d v="2025-11-09T00:00:00"/>
    <x v="0"/>
    <x v="0"/>
    <x v="3"/>
    <x v="0"/>
    <n v="18671"/>
    <x v="149"/>
    <n v="16010.79"/>
    <x v="149"/>
    <x v="2"/>
    <n v="14.247817470944247"/>
    <s v="Low"/>
    <x v="5"/>
    <n v="2025"/>
  </r>
  <r>
    <s v="ORD0151"/>
    <d v="2025-11-10T00:00:00"/>
    <x v="0"/>
    <x v="4"/>
    <x v="0"/>
    <x v="0"/>
    <n v="9137"/>
    <x v="150"/>
    <n v="5522.93"/>
    <x v="150"/>
    <x v="0"/>
    <n v="39.55423005362811"/>
    <s v="Low"/>
    <x v="5"/>
    <n v="2025"/>
  </r>
  <r>
    <s v="ORD0152"/>
    <d v="2025-11-11T00:00:00"/>
    <x v="1"/>
    <x v="3"/>
    <x v="4"/>
    <x v="0"/>
    <n v="8807"/>
    <x v="151"/>
    <n v="7243.89"/>
    <x v="151"/>
    <x v="3"/>
    <n v="17.748495514931303"/>
    <s v="Low"/>
    <x v="5"/>
    <n v="2025"/>
  </r>
  <r>
    <s v="ORD0153"/>
    <d v="2025-11-12T00:00:00"/>
    <x v="0"/>
    <x v="1"/>
    <x v="4"/>
    <x v="1"/>
    <n v="39406"/>
    <x v="152"/>
    <n v="224395.33"/>
    <x v="152"/>
    <x v="2"/>
    <n v="36.728380336891732"/>
    <s v="High"/>
    <x v="5"/>
    <n v="2025"/>
  </r>
  <r>
    <s v="ORD0154"/>
    <d v="2025-11-13T00:00:00"/>
    <x v="2"/>
    <x v="2"/>
    <x v="1"/>
    <x v="0"/>
    <n v="4486"/>
    <x v="153"/>
    <n v="4035.5"/>
    <x v="153"/>
    <x v="0"/>
    <n v="10.042353990191707"/>
    <s v="Low"/>
    <x v="5"/>
    <n v="2025"/>
  </r>
  <r>
    <s v="ORD0155"/>
    <d v="2025-11-14T00:00:00"/>
    <x v="3"/>
    <x v="0"/>
    <x v="1"/>
    <x v="7"/>
    <n v="5316"/>
    <x v="154"/>
    <n v="36990.01"/>
    <x v="154"/>
    <x v="0"/>
    <n v="13.021985515425131"/>
    <s v="Low"/>
    <x v="5"/>
    <n v="2025"/>
  </r>
  <r>
    <s v="ORD0156"/>
    <d v="2025-11-15T00:00:00"/>
    <x v="3"/>
    <x v="2"/>
    <x v="4"/>
    <x v="4"/>
    <n v="41989"/>
    <x v="155"/>
    <n v="325670.63"/>
    <x v="155"/>
    <x v="2"/>
    <n v="22.439060230060253"/>
    <s v="High"/>
    <x v="5"/>
    <n v="2025"/>
  </r>
  <r>
    <s v="ORD0157"/>
    <d v="2025-11-16T00:00:00"/>
    <x v="1"/>
    <x v="6"/>
    <x v="3"/>
    <x v="4"/>
    <n v="28693"/>
    <x v="156"/>
    <n v="180695.18"/>
    <x v="156"/>
    <x v="3"/>
    <n v="37.024647126476843"/>
    <s v="High"/>
    <x v="5"/>
    <n v="2025"/>
  </r>
  <r>
    <s v="ORD0158"/>
    <d v="2025-11-17T00:00:00"/>
    <x v="2"/>
    <x v="2"/>
    <x v="2"/>
    <x v="5"/>
    <n v="22712"/>
    <x v="157"/>
    <n v="134854.32999999999"/>
    <x v="157"/>
    <x v="0"/>
    <n v="15.177420369345343"/>
    <s v="Medium"/>
    <x v="5"/>
    <n v="2025"/>
  </r>
  <r>
    <s v="ORD0159"/>
    <d v="2025-11-18T00:00:00"/>
    <x v="0"/>
    <x v="7"/>
    <x v="5"/>
    <x v="6"/>
    <n v="44088"/>
    <x v="158"/>
    <n v="178944.45"/>
    <x v="158"/>
    <x v="0"/>
    <n v="32.353304754128111"/>
    <s v="High"/>
    <x v="5"/>
    <n v="2025"/>
  </r>
  <r>
    <s v="ORD0160"/>
    <d v="2025-11-19T00:00:00"/>
    <x v="3"/>
    <x v="0"/>
    <x v="0"/>
    <x v="8"/>
    <n v="28803"/>
    <x v="159"/>
    <n v="36232.410000000003"/>
    <x v="159"/>
    <x v="0"/>
    <n v="37.103062181022814"/>
    <s v="Low"/>
    <x v="5"/>
    <n v="2025"/>
  </r>
  <r>
    <s v="ORD0161"/>
    <d v="2025-11-20T00:00:00"/>
    <x v="2"/>
    <x v="4"/>
    <x v="3"/>
    <x v="1"/>
    <n v="22103"/>
    <x v="160"/>
    <n v="159341.32"/>
    <x v="160"/>
    <x v="3"/>
    <n v="19.899601361303393"/>
    <s v="Medium"/>
    <x v="5"/>
    <n v="2025"/>
  </r>
  <r>
    <s v="ORD0162"/>
    <d v="2025-11-21T00:00:00"/>
    <x v="0"/>
    <x v="0"/>
    <x v="4"/>
    <x v="4"/>
    <n v="20976"/>
    <x v="161"/>
    <n v="147984.39000000001"/>
    <x v="161"/>
    <x v="3"/>
    <n v="29.450614988558353"/>
    <s v="High"/>
    <x v="5"/>
    <n v="2025"/>
  </r>
  <r>
    <s v="ORD0163"/>
    <d v="2025-11-22T00:00:00"/>
    <x v="3"/>
    <x v="6"/>
    <x v="0"/>
    <x v="6"/>
    <n v="36955"/>
    <x v="162"/>
    <n v="157487.79"/>
    <x v="162"/>
    <x v="3"/>
    <n v="28.973170071708836"/>
    <s v="High"/>
    <x v="5"/>
    <n v="2025"/>
  </r>
  <r>
    <s v="ORD0164"/>
    <d v="2025-11-23T00:00:00"/>
    <x v="1"/>
    <x v="5"/>
    <x v="3"/>
    <x v="4"/>
    <n v="44735"/>
    <x v="163"/>
    <n v="354663.44"/>
    <x v="163"/>
    <x v="0"/>
    <n v="20.719025371632949"/>
    <s v="High"/>
    <x v="5"/>
    <n v="2025"/>
  </r>
  <r>
    <s v="ORD0165"/>
    <d v="2025-11-24T00:00:00"/>
    <x v="0"/>
    <x v="0"/>
    <x v="4"/>
    <x v="2"/>
    <n v="22770"/>
    <x v="164"/>
    <n v="80299.199999999997"/>
    <x v="164"/>
    <x v="3"/>
    <n v="29.469301712779977"/>
    <s v="Medium"/>
    <x v="5"/>
    <n v="2025"/>
  </r>
  <r>
    <s v="ORD0166"/>
    <d v="2025-11-25T00:00:00"/>
    <x v="0"/>
    <x v="2"/>
    <x v="2"/>
    <x v="0"/>
    <n v="6513"/>
    <x v="165"/>
    <n v="5365.63"/>
    <x v="165"/>
    <x v="3"/>
    <n v="17.616612927990172"/>
    <s v="Low"/>
    <x v="5"/>
    <n v="2025"/>
  </r>
  <r>
    <s v="ORD0167"/>
    <d v="2025-11-26T00:00:00"/>
    <x v="3"/>
    <x v="3"/>
    <x v="4"/>
    <x v="9"/>
    <n v="24751"/>
    <x v="166"/>
    <n v="51493.8"/>
    <x v="166"/>
    <x v="0"/>
    <n v="30.650882792614443"/>
    <s v="Low"/>
    <x v="5"/>
    <n v="2025"/>
  </r>
  <r>
    <s v="ORD0168"/>
    <d v="2025-11-27T00:00:00"/>
    <x v="3"/>
    <x v="7"/>
    <x v="2"/>
    <x v="4"/>
    <n v="3761"/>
    <x v="167"/>
    <n v="30170.39"/>
    <x v="167"/>
    <x v="3"/>
    <n v="19.780935921297527"/>
    <s v="Low"/>
    <x v="5"/>
    <n v="2025"/>
  </r>
  <r>
    <s v="ORD0169"/>
    <d v="2025-11-28T00:00:00"/>
    <x v="1"/>
    <x v="4"/>
    <x v="3"/>
    <x v="7"/>
    <n v="27643"/>
    <x v="168"/>
    <n v="150809.16"/>
    <x v="168"/>
    <x v="3"/>
    <n v="31.804995839814783"/>
    <s v="High"/>
    <x v="5"/>
    <n v="2025"/>
  </r>
  <r>
    <s v="ORD0170"/>
    <d v="2025-11-29T00:00:00"/>
    <x v="3"/>
    <x v="1"/>
    <x v="4"/>
    <x v="4"/>
    <n v="32391"/>
    <x v="169"/>
    <n v="245549.77"/>
    <x v="169"/>
    <x v="1"/>
    <n v="24.19197616621901"/>
    <s v="High"/>
    <x v="5"/>
    <n v="2025"/>
  </r>
  <r>
    <s v="ORD0171"/>
    <d v="2025-11-30T00:00:00"/>
    <x v="0"/>
    <x v="0"/>
    <x v="3"/>
    <x v="0"/>
    <n v="1003"/>
    <x v="170"/>
    <n v="663.31"/>
    <x v="170"/>
    <x v="2"/>
    <n v="33.867397806580257"/>
    <s v="Low"/>
    <x v="5"/>
    <n v="2025"/>
  </r>
  <r>
    <s v="ORD0172"/>
    <d v="2025-12-01T00:00:00"/>
    <x v="2"/>
    <x v="0"/>
    <x v="4"/>
    <x v="8"/>
    <n v="1006"/>
    <x v="171"/>
    <n v="1507.42"/>
    <x v="171"/>
    <x v="1"/>
    <n v="25.078528827037772"/>
    <s v="Low"/>
    <x v="6"/>
    <n v="2025"/>
  </r>
  <r>
    <s v="ORD0173"/>
    <d v="2025-12-02T00:00:00"/>
    <x v="3"/>
    <x v="3"/>
    <x v="3"/>
    <x v="3"/>
    <n v="33285"/>
    <x v="172"/>
    <n v="102200.54"/>
    <x v="172"/>
    <x v="3"/>
    <n v="23.23829052125582"/>
    <s v="Medium"/>
    <x v="6"/>
    <n v="2025"/>
  </r>
  <r>
    <s v="ORD0174"/>
    <d v="2025-12-03T00:00:00"/>
    <x v="3"/>
    <x v="2"/>
    <x v="5"/>
    <x v="0"/>
    <n v="30630"/>
    <x v="173"/>
    <n v="26842.560000000001"/>
    <x v="173"/>
    <x v="3"/>
    <n v="12.36513222331048"/>
    <s v="Low"/>
    <x v="6"/>
    <n v="2025"/>
  </r>
  <r>
    <s v="ORD0175"/>
    <d v="2025-12-04T00:00:00"/>
    <x v="3"/>
    <x v="0"/>
    <x v="5"/>
    <x v="2"/>
    <n v="8048"/>
    <x v="174"/>
    <n v="29033.55"/>
    <x v="174"/>
    <x v="3"/>
    <n v="27.849030815109344"/>
    <s v="Low"/>
    <x v="6"/>
    <n v="2025"/>
  </r>
  <r>
    <s v="ORD0176"/>
    <d v="2025-12-05T00:00:00"/>
    <x v="0"/>
    <x v="2"/>
    <x v="4"/>
    <x v="8"/>
    <n v="29120"/>
    <x v="175"/>
    <n v="49698.83"/>
    <x v="175"/>
    <x v="3"/>
    <n v="14.665470467032968"/>
    <s v="Low"/>
    <x v="6"/>
    <n v="2025"/>
  </r>
  <r>
    <s v="ORD0177"/>
    <d v="2025-12-06T00:00:00"/>
    <x v="0"/>
    <x v="4"/>
    <x v="0"/>
    <x v="5"/>
    <n v="20834"/>
    <x v="176"/>
    <n v="120132.81"/>
    <x v="176"/>
    <x v="1"/>
    <n v="17.625851972736871"/>
    <s v="Medium"/>
    <x v="6"/>
    <n v="2025"/>
  </r>
  <r>
    <s v="ORD0178"/>
    <d v="2025-12-07T00:00:00"/>
    <x v="3"/>
    <x v="4"/>
    <x v="3"/>
    <x v="8"/>
    <n v="35273"/>
    <x v="177"/>
    <n v="53120.12"/>
    <x v="177"/>
    <x v="1"/>
    <n v="24.701443030079666"/>
    <s v="Low"/>
    <x v="6"/>
    <n v="2025"/>
  </r>
  <r>
    <s v="ORD0179"/>
    <d v="2025-12-08T00:00:00"/>
    <x v="0"/>
    <x v="3"/>
    <x v="0"/>
    <x v="9"/>
    <n v="17275"/>
    <x v="178"/>
    <n v="34162.080000000002"/>
    <x v="178"/>
    <x v="1"/>
    <n v="34.081852387843703"/>
    <s v="Low"/>
    <x v="6"/>
    <n v="2025"/>
  </r>
  <r>
    <s v="ORD0180"/>
    <d v="2025-12-09T00:00:00"/>
    <x v="2"/>
    <x v="4"/>
    <x v="5"/>
    <x v="7"/>
    <n v="49943"/>
    <x v="179"/>
    <n v="307297.53999999998"/>
    <x v="179"/>
    <x v="2"/>
    <n v="23.087935246180646"/>
    <s v="High"/>
    <x v="6"/>
    <n v="2025"/>
  </r>
  <r>
    <s v="ORD0181"/>
    <d v="2025-12-10T00:00:00"/>
    <x v="3"/>
    <x v="5"/>
    <x v="5"/>
    <x v="8"/>
    <n v="31231"/>
    <x v="180"/>
    <n v="45763.56"/>
    <x v="180"/>
    <x v="0"/>
    <n v="26.733758124939961"/>
    <s v="Low"/>
    <x v="6"/>
    <n v="2025"/>
  </r>
  <r>
    <s v="ORD0182"/>
    <d v="2025-12-11T00:00:00"/>
    <x v="1"/>
    <x v="1"/>
    <x v="3"/>
    <x v="8"/>
    <n v="20842"/>
    <x v="181"/>
    <n v="30784.58"/>
    <x v="181"/>
    <x v="2"/>
    <n v="26.147730544093655"/>
    <s v="Low"/>
    <x v="6"/>
    <n v="2025"/>
  </r>
  <r>
    <s v="ORD0183"/>
    <d v="2025-12-12T00:00:00"/>
    <x v="2"/>
    <x v="7"/>
    <x v="0"/>
    <x v="8"/>
    <n v="40805"/>
    <x v="182"/>
    <n v="63510.86"/>
    <x v="182"/>
    <x v="0"/>
    <n v="22.177600784217617"/>
    <s v="Low"/>
    <x v="6"/>
    <n v="2025"/>
  </r>
  <r>
    <s v="ORD0184"/>
    <d v="2025-12-13T00:00:00"/>
    <x v="0"/>
    <x v="1"/>
    <x v="3"/>
    <x v="3"/>
    <n v="21571"/>
    <x v="183"/>
    <n v="67431.100000000006"/>
    <x v="183"/>
    <x v="3"/>
    <n v="21.849821519632844"/>
    <s v="Low"/>
    <x v="6"/>
    <n v="2025"/>
  </r>
  <r>
    <s v="ORD0185"/>
    <d v="2025-12-14T00:00:00"/>
    <x v="1"/>
    <x v="6"/>
    <x v="4"/>
    <x v="8"/>
    <n v="33566"/>
    <x v="184"/>
    <n v="53291.94"/>
    <x v="184"/>
    <x v="3"/>
    <n v="20.616189000774593"/>
    <s v="Low"/>
    <x v="6"/>
    <n v="2025"/>
  </r>
  <r>
    <s v="ORD0186"/>
    <d v="2025-12-15T00:00:00"/>
    <x v="3"/>
    <x v="5"/>
    <x v="3"/>
    <x v="1"/>
    <n v="40464"/>
    <x v="185"/>
    <n v="235849.07"/>
    <x v="185"/>
    <x v="3"/>
    <n v="35.237613132111946"/>
    <s v="High"/>
    <x v="6"/>
    <n v="2025"/>
  </r>
  <r>
    <s v="ORD0187"/>
    <d v="2025-12-16T00:00:00"/>
    <x v="3"/>
    <x v="3"/>
    <x v="4"/>
    <x v="4"/>
    <n v="3931"/>
    <x v="186"/>
    <n v="32893.35"/>
    <x v="186"/>
    <x v="2"/>
    <n v="16.323200203510556"/>
    <s v="Low"/>
    <x v="6"/>
    <n v="2025"/>
  </r>
  <r>
    <s v="ORD0188"/>
    <d v="2025-12-17T00:00:00"/>
    <x v="0"/>
    <x v="4"/>
    <x v="3"/>
    <x v="5"/>
    <n v="19121"/>
    <x v="187"/>
    <n v="90426.86"/>
    <x v="187"/>
    <x v="0"/>
    <n v="32.440129401480796"/>
    <s v="Medium"/>
    <x v="6"/>
    <n v="2025"/>
  </r>
  <r>
    <s v="ORD0189"/>
    <d v="2025-12-18T00:00:00"/>
    <x v="2"/>
    <x v="0"/>
    <x v="1"/>
    <x v="9"/>
    <n v="23425"/>
    <x v="188"/>
    <n v="48705.46"/>
    <x v="188"/>
    <x v="0"/>
    <n v="30.693048737104235"/>
    <s v="Low"/>
    <x v="6"/>
    <n v="2025"/>
  </r>
  <r>
    <s v="ORD0190"/>
    <d v="2025-12-19T00:00:00"/>
    <x v="0"/>
    <x v="3"/>
    <x v="3"/>
    <x v="5"/>
    <n v="42671"/>
    <x v="189"/>
    <n v="250158.32"/>
    <x v="189"/>
    <x v="3"/>
    <n v="16.250139773750657"/>
    <s v="High"/>
    <x v="6"/>
    <n v="2025"/>
  </r>
  <r>
    <s v="ORD0191"/>
    <d v="2025-12-20T00:00:00"/>
    <x v="0"/>
    <x v="4"/>
    <x v="4"/>
    <x v="0"/>
    <n v="24263"/>
    <x v="190"/>
    <n v="16806.009999999998"/>
    <x v="190"/>
    <x v="3"/>
    <n v="30.733998268969209"/>
    <s v="Low"/>
    <x v="6"/>
    <n v="2025"/>
  </r>
  <r>
    <s v="ORD0192"/>
    <d v="2025-12-21T00:00:00"/>
    <x v="1"/>
    <x v="1"/>
    <x v="2"/>
    <x v="9"/>
    <n v="10654"/>
    <x v="191"/>
    <n v="19917.11"/>
    <x v="191"/>
    <x v="2"/>
    <n v="37.685032225768097"/>
    <s v="Low"/>
    <x v="6"/>
    <n v="2025"/>
  </r>
  <r>
    <s v="ORD0193"/>
    <d v="2025-12-22T00:00:00"/>
    <x v="0"/>
    <x v="0"/>
    <x v="2"/>
    <x v="4"/>
    <n v="25188"/>
    <x v="192"/>
    <n v="162783.96"/>
    <x v="192"/>
    <x v="3"/>
    <n v="35.372415435921866"/>
    <s v="High"/>
    <x v="6"/>
    <n v="2025"/>
  </r>
  <r>
    <s v="ORD0194"/>
    <d v="2025-12-23T00:00:00"/>
    <x v="2"/>
    <x v="5"/>
    <x v="5"/>
    <x v="6"/>
    <n v="44826"/>
    <x v="193"/>
    <n v="219434.67"/>
    <x v="193"/>
    <x v="3"/>
    <n v="18.412428055146567"/>
    <s v="High"/>
    <x v="6"/>
    <n v="2025"/>
  </r>
  <r>
    <s v="ORD0195"/>
    <d v="2025-12-24T00:00:00"/>
    <x v="2"/>
    <x v="6"/>
    <x v="3"/>
    <x v="3"/>
    <n v="20781"/>
    <x v="194"/>
    <n v="73953.679999999993"/>
    <x v="194"/>
    <x v="2"/>
    <n v="11.032096626726336"/>
    <s v="Low"/>
    <x v="6"/>
    <n v="2025"/>
  </r>
  <r>
    <s v="ORD0196"/>
    <d v="2025-12-25T00:00:00"/>
    <x v="2"/>
    <x v="2"/>
    <x v="3"/>
    <x v="7"/>
    <n v="30756"/>
    <x v="195"/>
    <n v="204424.45"/>
    <x v="195"/>
    <x v="1"/>
    <n v="16.916841429314605"/>
    <s v="High"/>
    <x v="6"/>
    <n v="2025"/>
  </r>
  <r>
    <s v="ORD0197"/>
    <d v="2025-12-26T00:00:00"/>
    <x v="2"/>
    <x v="4"/>
    <x v="3"/>
    <x v="9"/>
    <n v="16884"/>
    <x v="196"/>
    <n v="31184.1"/>
    <x v="196"/>
    <x v="0"/>
    <n v="38.434612651030562"/>
    <s v="Low"/>
    <x v="6"/>
    <n v="2025"/>
  </r>
  <r>
    <s v="ORD0198"/>
    <d v="2025-12-27T00:00:00"/>
    <x v="3"/>
    <x v="7"/>
    <x v="0"/>
    <x v="2"/>
    <n v="5996"/>
    <x v="197"/>
    <n v="24851.47"/>
    <x v="197"/>
    <x v="1"/>
    <n v="17.106504336224148"/>
    <s v="Low"/>
    <x v="6"/>
    <n v="2025"/>
  </r>
  <r>
    <s v="ORD0199"/>
    <d v="2025-12-28T00:00:00"/>
    <x v="1"/>
    <x v="2"/>
    <x v="0"/>
    <x v="3"/>
    <n v="30065"/>
    <x v="198"/>
    <n v="104071.67"/>
    <x v="198"/>
    <x v="0"/>
    <n v="13.46110926326293"/>
    <s v="Medium"/>
    <x v="6"/>
    <n v="2025"/>
  </r>
  <r>
    <s v="ORD0200"/>
    <d v="2025-12-29T00:00:00"/>
    <x v="1"/>
    <x v="4"/>
    <x v="3"/>
    <x v="6"/>
    <n v="15951"/>
    <x v="199"/>
    <n v="68511.12"/>
    <x v="199"/>
    <x v="1"/>
    <n v="28.415021001818069"/>
    <s v="Low"/>
    <x v="6"/>
    <n v="2025"/>
  </r>
  <r>
    <s v="ORD0201"/>
    <d v="2025-12-30T00:00:00"/>
    <x v="0"/>
    <x v="0"/>
    <x v="4"/>
    <x v="8"/>
    <n v="47338"/>
    <x v="200"/>
    <n v="75266.3"/>
    <x v="200"/>
    <x v="0"/>
    <n v="20.501182981959527"/>
    <s v="Low"/>
    <x v="6"/>
    <n v="2025"/>
  </r>
  <r>
    <s v="ORD0202"/>
    <d v="2025-12-31T00:00:00"/>
    <x v="1"/>
    <x v="3"/>
    <x v="5"/>
    <x v="9"/>
    <n v="46738"/>
    <x v="201"/>
    <n v="103861.14"/>
    <x v="201"/>
    <x v="0"/>
    <n v="25.926697761992383"/>
    <s v="Medium"/>
    <x v="6"/>
    <n v="2025"/>
  </r>
  <r>
    <s v="ORD0203"/>
    <d v="2026-01-01T00:00:00"/>
    <x v="2"/>
    <x v="3"/>
    <x v="2"/>
    <x v="9"/>
    <n v="36466"/>
    <x v="202"/>
    <n v="96496.45"/>
    <x v="202"/>
    <x v="2"/>
    <n v="11.793222910839321"/>
    <s v="Medium"/>
    <x v="7"/>
    <n v="2026"/>
  </r>
  <r>
    <s v="ORD0204"/>
    <d v="2026-01-02T00:00:00"/>
    <x v="2"/>
    <x v="3"/>
    <x v="4"/>
    <x v="8"/>
    <n v="3629"/>
    <x v="203"/>
    <n v="4873.9799999999996"/>
    <x v="203"/>
    <x v="0"/>
    <n v="32.84678974924222"/>
    <s v="Low"/>
    <x v="7"/>
    <n v="2026"/>
  </r>
  <r>
    <s v="ORD0205"/>
    <d v="2026-01-03T00:00:00"/>
    <x v="0"/>
    <x v="0"/>
    <x v="3"/>
    <x v="1"/>
    <n v="1577"/>
    <x v="204"/>
    <n v="11206.6"/>
    <x v="204"/>
    <x v="2"/>
    <n v="21.041358416120623"/>
    <s v="Low"/>
    <x v="7"/>
    <n v="2026"/>
  </r>
  <r>
    <s v="ORD0206"/>
    <d v="2026-01-04T00:00:00"/>
    <x v="2"/>
    <x v="0"/>
    <x v="0"/>
    <x v="4"/>
    <n v="23622"/>
    <x v="205"/>
    <n v="158779.82999999999"/>
    <x v="205"/>
    <x v="0"/>
    <n v="32.783070866141735"/>
    <s v="High"/>
    <x v="7"/>
    <n v="2026"/>
  </r>
  <r>
    <s v="ORD0207"/>
    <d v="2026-01-05T00:00:00"/>
    <x v="1"/>
    <x v="2"/>
    <x v="4"/>
    <x v="8"/>
    <n v="34975"/>
    <x v="206"/>
    <n v="53387.56"/>
    <x v="206"/>
    <x v="3"/>
    <n v="23.677541100786271"/>
    <s v="Low"/>
    <x v="7"/>
    <n v="2026"/>
  </r>
  <r>
    <s v="ORD0208"/>
    <d v="2026-01-06T00:00:00"/>
    <x v="1"/>
    <x v="4"/>
    <x v="1"/>
    <x v="5"/>
    <n v="24964"/>
    <x v="207"/>
    <n v="118146.26"/>
    <x v="207"/>
    <x v="0"/>
    <n v="32.390493739556383"/>
    <s v="Medium"/>
    <x v="7"/>
    <n v="2026"/>
  </r>
  <r>
    <s v="ORD0209"/>
    <d v="2026-01-07T00:00:00"/>
    <x v="3"/>
    <x v="0"/>
    <x v="2"/>
    <x v="8"/>
    <n v="38635"/>
    <x v="208"/>
    <n v="63404.37"/>
    <x v="208"/>
    <x v="0"/>
    <n v="17.944389801993012"/>
    <s v="Low"/>
    <x v="7"/>
    <n v="2026"/>
  </r>
  <r>
    <s v="ORD0210"/>
    <d v="2026-01-08T00:00:00"/>
    <x v="2"/>
    <x v="7"/>
    <x v="3"/>
    <x v="6"/>
    <n v="42626"/>
    <x v="209"/>
    <n v="166887.63"/>
    <x v="209"/>
    <x v="1"/>
    <n v="34.747325575939563"/>
    <s v="High"/>
    <x v="7"/>
    <n v="2026"/>
  </r>
  <r>
    <s v="ORD0211"/>
    <d v="2026-01-09T00:00:00"/>
    <x v="1"/>
    <x v="6"/>
    <x v="0"/>
    <x v="7"/>
    <n v="2923"/>
    <x v="210"/>
    <n v="16088.96"/>
    <x v="210"/>
    <x v="0"/>
    <n v="31.19671570304482"/>
    <s v="Low"/>
    <x v="7"/>
    <n v="2026"/>
  </r>
  <r>
    <s v="ORD0212"/>
    <d v="2026-01-10T00:00:00"/>
    <x v="2"/>
    <x v="5"/>
    <x v="4"/>
    <x v="1"/>
    <n v="26598"/>
    <x v="211"/>
    <n v="214662.65"/>
    <x v="211"/>
    <x v="0"/>
    <n v="10.326319439222665"/>
    <s v="High"/>
    <x v="7"/>
    <n v="2026"/>
  </r>
  <r>
    <s v="ORD0213"/>
    <d v="2026-01-11T00:00:00"/>
    <x v="1"/>
    <x v="4"/>
    <x v="2"/>
    <x v="2"/>
    <n v="23894"/>
    <x v="212"/>
    <n v="102581.91"/>
    <x v="212"/>
    <x v="2"/>
    <n v="14.135841633882984"/>
    <s v="Medium"/>
    <x v="7"/>
    <n v="2026"/>
  </r>
  <r>
    <s v="ORD0214"/>
    <d v="2026-01-12T00:00:00"/>
    <x v="2"/>
    <x v="4"/>
    <x v="4"/>
    <x v="5"/>
    <n v="26715"/>
    <x v="213"/>
    <n v="153903.67999999999"/>
    <x v="213"/>
    <x v="1"/>
    <n v="17.700767359161521"/>
    <s v="Medium"/>
    <x v="7"/>
    <n v="2026"/>
  </r>
  <r>
    <s v="ORD0215"/>
    <d v="2026-01-13T00:00:00"/>
    <x v="3"/>
    <x v="3"/>
    <x v="1"/>
    <x v="7"/>
    <n v="24574"/>
    <x v="214"/>
    <n v="172468.81"/>
    <x v="214"/>
    <x v="3"/>
    <n v="12.270687515260031"/>
    <s v="Medium"/>
    <x v="7"/>
    <n v="2026"/>
  </r>
  <r>
    <s v="ORD0216"/>
    <d v="2026-01-14T00:00:00"/>
    <x v="3"/>
    <x v="3"/>
    <x v="5"/>
    <x v="4"/>
    <n v="12326"/>
    <x v="215"/>
    <n v="94126.55"/>
    <x v="215"/>
    <x v="0"/>
    <n v="23.635769917248094"/>
    <s v="Medium"/>
    <x v="7"/>
    <n v="2026"/>
  </r>
  <r>
    <s v="ORD0217"/>
    <d v="2026-01-15T00:00:00"/>
    <x v="2"/>
    <x v="0"/>
    <x v="1"/>
    <x v="2"/>
    <n v="20586"/>
    <x v="216"/>
    <n v="75527.429999999993"/>
    <x v="216"/>
    <x v="3"/>
    <n v="26.622529874672107"/>
    <s v="Medium"/>
    <x v="7"/>
    <n v="2026"/>
  </r>
  <r>
    <s v="ORD0218"/>
    <d v="2026-01-16T00:00:00"/>
    <x v="3"/>
    <x v="2"/>
    <x v="5"/>
    <x v="0"/>
    <n v="48132"/>
    <x v="217"/>
    <n v="41442.19"/>
    <x v="217"/>
    <x v="2"/>
    <n v="13.898882240505278"/>
    <s v="Low"/>
    <x v="7"/>
    <n v="2026"/>
  </r>
  <r>
    <s v="ORD0219"/>
    <d v="2026-01-17T00:00:00"/>
    <x v="3"/>
    <x v="0"/>
    <x v="0"/>
    <x v="8"/>
    <n v="44486"/>
    <x v="218"/>
    <n v="70399.429999999993"/>
    <x v="218"/>
    <x v="0"/>
    <n v="20.87462347704896"/>
    <s v="Low"/>
    <x v="7"/>
    <n v="2026"/>
  </r>
  <r>
    <s v="ORD0220"/>
    <d v="2026-01-18T00:00:00"/>
    <x v="0"/>
    <x v="4"/>
    <x v="3"/>
    <x v="7"/>
    <n v="2780"/>
    <x v="219"/>
    <n v="14186.21"/>
    <x v="219"/>
    <x v="2"/>
    <n v="36.213084532374104"/>
    <s v="Low"/>
    <x v="7"/>
    <n v="2026"/>
  </r>
  <r>
    <s v="ORD0221"/>
    <d v="2026-01-19T00:00:00"/>
    <x v="2"/>
    <x v="4"/>
    <x v="3"/>
    <x v="0"/>
    <n v="40155"/>
    <x v="220"/>
    <n v="25941.39"/>
    <x v="220"/>
    <x v="2"/>
    <n v="35.396862159133356"/>
    <s v="Low"/>
    <x v="7"/>
    <n v="2026"/>
  </r>
  <r>
    <s v="ORD0222"/>
    <d v="2026-01-20T00:00:00"/>
    <x v="2"/>
    <x v="4"/>
    <x v="0"/>
    <x v="4"/>
    <n v="9523"/>
    <x v="221"/>
    <n v="72264.14"/>
    <x v="221"/>
    <x v="2"/>
    <n v="24.116202877244568"/>
    <s v="Low"/>
    <x v="7"/>
    <n v="2026"/>
  </r>
  <r>
    <s v="ORD0223"/>
    <d v="2026-01-21T00:00:00"/>
    <x v="2"/>
    <x v="3"/>
    <x v="0"/>
    <x v="0"/>
    <n v="48713"/>
    <x v="222"/>
    <n v="31946.69"/>
    <x v="222"/>
    <x v="2"/>
    <n v="34.418553568862528"/>
    <s v="Low"/>
    <x v="7"/>
    <n v="2026"/>
  </r>
  <r>
    <s v="ORD0224"/>
    <d v="2026-01-22T00:00:00"/>
    <x v="3"/>
    <x v="7"/>
    <x v="1"/>
    <x v="7"/>
    <n v="14562"/>
    <x v="223"/>
    <n v="104719.37"/>
    <x v="223"/>
    <x v="1"/>
    <n v="10.109042370553494"/>
    <s v="Medium"/>
    <x v="7"/>
    <n v="2026"/>
  </r>
  <r>
    <s v="ORD0225"/>
    <d v="2026-01-23T00:00:00"/>
    <x v="2"/>
    <x v="3"/>
    <x v="2"/>
    <x v="8"/>
    <n v="30125"/>
    <x v="224"/>
    <n v="39270.76"/>
    <x v="224"/>
    <x v="2"/>
    <n v="34.820315352697094"/>
    <s v="Low"/>
    <x v="7"/>
    <n v="2026"/>
  </r>
  <r>
    <s v="ORD0226"/>
    <d v="2026-01-24T00:00:00"/>
    <x v="3"/>
    <x v="0"/>
    <x v="4"/>
    <x v="8"/>
    <n v="36544"/>
    <x v="225"/>
    <n v="55740.67"/>
    <x v="225"/>
    <x v="1"/>
    <n v="23.734853874781088"/>
    <s v="Low"/>
    <x v="7"/>
    <n v="2026"/>
  </r>
  <r>
    <s v="ORD0227"/>
    <d v="2026-01-25T00:00:00"/>
    <x v="0"/>
    <x v="6"/>
    <x v="3"/>
    <x v="3"/>
    <n v="8453"/>
    <x v="226"/>
    <n v="30279.99"/>
    <x v="226"/>
    <x v="3"/>
    <n v="10.446025079853309"/>
    <s v="Low"/>
    <x v="7"/>
    <n v="2026"/>
  </r>
  <r>
    <s v="ORD0228"/>
    <d v="2026-01-26T00:00:00"/>
    <x v="0"/>
    <x v="3"/>
    <x v="4"/>
    <x v="1"/>
    <n v="38004"/>
    <x v="227"/>
    <n v="243075.87"/>
    <x v="227"/>
    <x v="0"/>
    <n v="28.932664982633412"/>
    <s v="High"/>
    <x v="7"/>
    <n v="2026"/>
  </r>
  <r>
    <s v="ORD0229"/>
    <d v="2026-01-27T00:00:00"/>
    <x v="2"/>
    <x v="3"/>
    <x v="5"/>
    <x v="7"/>
    <n v="34951"/>
    <x v="228"/>
    <n v="202223.28"/>
    <x v="228"/>
    <x v="1"/>
    <n v="27.676146605247347"/>
    <s v="High"/>
    <x v="7"/>
    <n v="2026"/>
  </r>
  <r>
    <s v="ORD0230"/>
    <d v="2026-01-28T00:00:00"/>
    <x v="3"/>
    <x v="0"/>
    <x v="1"/>
    <x v="8"/>
    <n v="29989"/>
    <x v="229"/>
    <n v="44368.72"/>
    <x v="229"/>
    <x v="1"/>
    <n v="26.025009170029012"/>
    <s v="Low"/>
    <x v="7"/>
    <n v="2026"/>
  </r>
  <r>
    <s v="ORD0231"/>
    <d v="2026-01-29T00:00:00"/>
    <x v="0"/>
    <x v="5"/>
    <x v="5"/>
    <x v="1"/>
    <n v="4131"/>
    <x v="230"/>
    <n v="31580.48"/>
    <x v="230"/>
    <x v="1"/>
    <n v="15.058285591328438"/>
    <s v="Low"/>
    <x v="7"/>
    <n v="2026"/>
  </r>
  <r>
    <s v="ORD0232"/>
    <d v="2026-01-30T00:00:00"/>
    <x v="3"/>
    <x v="3"/>
    <x v="4"/>
    <x v="3"/>
    <n v="23176"/>
    <x v="231"/>
    <n v="81973.039999999994"/>
    <x v="231"/>
    <x v="2"/>
    <n v="11.575509147393854"/>
    <s v="Low"/>
    <x v="7"/>
    <n v="2026"/>
  </r>
  <r>
    <s v="ORD0233"/>
    <d v="2026-01-31T00:00:00"/>
    <x v="3"/>
    <x v="3"/>
    <x v="1"/>
    <x v="1"/>
    <n v="18486"/>
    <x v="232"/>
    <n v="106071.92"/>
    <x v="232"/>
    <x v="1"/>
    <n v="36.244894033923572"/>
    <s v="Medium"/>
    <x v="7"/>
    <n v="2026"/>
  </r>
  <r>
    <s v="ORD0234"/>
    <d v="2026-02-01T00:00:00"/>
    <x v="3"/>
    <x v="1"/>
    <x v="3"/>
    <x v="9"/>
    <n v="11719"/>
    <x v="233"/>
    <n v="28041.919999999998"/>
    <x v="233"/>
    <x v="0"/>
    <n v="20.238018033393065"/>
    <s v="Low"/>
    <x v="8"/>
    <n v="2026"/>
  </r>
  <r>
    <s v="ORD0235"/>
    <d v="2026-02-02T00:00:00"/>
    <x v="2"/>
    <x v="1"/>
    <x v="0"/>
    <x v="4"/>
    <n v="17844"/>
    <x v="234"/>
    <n v="141920.29"/>
    <x v="234"/>
    <x v="3"/>
    <n v="20.466100650078456"/>
    <s v="Medium"/>
    <x v="8"/>
    <n v="2026"/>
  </r>
  <r>
    <s v="ORD0236"/>
    <d v="2026-02-03T00:00:00"/>
    <x v="2"/>
    <x v="6"/>
    <x v="3"/>
    <x v="2"/>
    <n v="42568"/>
    <x v="235"/>
    <n v="188788.03"/>
    <x v="235"/>
    <x v="3"/>
    <n v="11.300493328321744"/>
    <s v="High"/>
    <x v="8"/>
    <n v="2026"/>
  </r>
  <r>
    <s v="ORD0237"/>
    <d v="2026-02-04T00:00:00"/>
    <x v="2"/>
    <x v="2"/>
    <x v="5"/>
    <x v="8"/>
    <n v="45628"/>
    <x v="236"/>
    <n v="56393.83"/>
    <x v="236"/>
    <x v="3"/>
    <n v="38.202605856053303"/>
    <s v="Low"/>
    <x v="8"/>
    <n v="2026"/>
  </r>
  <r>
    <s v="ORD0238"/>
    <d v="2026-02-05T00:00:00"/>
    <x v="3"/>
    <x v="4"/>
    <x v="2"/>
    <x v="6"/>
    <n v="40258"/>
    <x v="237"/>
    <n v="155339.67000000001"/>
    <x v="237"/>
    <x v="3"/>
    <n v="35.689937403745844"/>
    <s v="High"/>
    <x v="8"/>
    <n v="2026"/>
  </r>
  <r>
    <s v="ORD0239"/>
    <d v="2026-02-06T00:00:00"/>
    <x v="0"/>
    <x v="7"/>
    <x v="4"/>
    <x v="1"/>
    <n v="37308"/>
    <x v="238"/>
    <n v="212159.28"/>
    <x v="238"/>
    <x v="0"/>
    <n v="36.814481255137416"/>
    <s v="High"/>
    <x v="8"/>
    <n v="2026"/>
  </r>
  <r>
    <s v="ORD0240"/>
    <d v="2026-02-07T00:00:00"/>
    <x v="3"/>
    <x v="2"/>
    <x v="5"/>
    <x v="3"/>
    <n v="9732"/>
    <x v="239"/>
    <n v="24487.41"/>
    <x v="239"/>
    <x v="3"/>
    <n v="37.095638101109742"/>
    <s v="Low"/>
    <x v="8"/>
    <n v="2026"/>
  </r>
  <r>
    <s v="ORD0241"/>
    <d v="2026-02-08T00:00:00"/>
    <x v="0"/>
    <x v="0"/>
    <x v="2"/>
    <x v="6"/>
    <n v="38359"/>
    <x v="240"/>
    <n v="187883.58"/>
    <x v="240"/>
    <x v="3"/>
    <n v="18.366146145624235"/>
    <s v="High"/>
    <x v="8"/>
    <n v="2026"/>
  </r>
  <r>
    <s v="ORD0242"/>
    <d v="2026-02-09T00:00:00"/>
    <x v="1"/>
    <x v="2"/>
    <x v="5"/>
    <x v="7"/>
    <n v="20720"/>
    <x v="241"/>
    <n v="124189.23"/>
    <x v="241"/>
    <x v="3"/>
    <n v="25.078891167953664"/>
    <s v="Medium"/>
    <x v="8"/>
    <n v="2026"/>
  </r>
  <r>
    <s v="ORD0243"/>
    <d v="2026-02-10T00:00:00"/>
    <x v="3"/>
    <x v="7"/>
    <x v="2"/>
    <x v="4"/>
    <n v="23627"/>
    <x v="242"/>
    <n v="145210.94"/>
    <x v="242"/>
    <x v="3"/>
    <n v="38.540254793245019"/>
    <s v="High"/>
    <x v="8"/>
    <n v="2026"/>
  </r>
  <r>
    <s v="ORD0244"/>
    <d v="2026-02-11T00:00:00"/>
    <x v="3"/>
    <x v="4"/>
    <x v="3"/>
    <x v="0"/>
    <n v="7544"/>
    <x v="243"/>
    <n v="5501.68"/>
    <x v="243"/>
    <x v="3"/>
    <n v="27.072110286320257"/>
    <s v="Low"/>
    <x v="8"/>
    <n v="2026"/>
  </r>
  <r>
    <s v="ORD0245"/>
    <d v="2026-02-12T00:00:00"/>
    <x v="0"/>
    <x v="4"/>
    <x v="0"/>
    <x v="5"/>
    <n v="3852"/>
    <x v="244"/>
    <n v="20791.52"/>
    <x v="244"/>
    <x v="2"/>
    <n v="22.891559115858179"/>
    <s v="Low"/>
    <x v="8"/>
    <n v="2026"/>
  </r>
  <r>
    <s v="ORD0246"/>
    <d v="2026-02-13T00:00:00"/>
    <x v="3"/>
    <x v="3"/>
    <x v="5"/>
    <x v="1"/>
    <n v="30014"/>
    <x v="245"/>
    <n v="224021.23"/>
    <x v="245"/>
    <x v="1"/>
    <n v="17.067875732065776"/>
    <s v="High"/>
    <x v="8"/>
    <n v="2026"/>
  </r>
  <r>
    <s v="ORD0247"/>
    <d v="2026-02-14T00:00:00"/>
    <x v="3"/>
    <x v="0"/>
    <x v="5"/>
    <x v="6"/>
    <n v="22722"/>
    <x v="246"/>
    <n v="104614.3"/>
    <x v="246"/>
    <x v="1"/>
    <n v="23.26504415691107"/>
    <s v="Medium"/>
    <x v="8"/>
    <n v="2026"/>
  </r>
  <r>
    <s v="ORD0248"/>
    <d v="2026-02-15T00:00:00"/>
    <x v="1"/>
    <x v="0"/>
    <x v="3"/>
    <x v="5"/>
    <n v="33273"/>
    <x v="247"/>
    <n v="142559.34"/>
    <x v="247"/>
    <x v="2"/>
    <n v="38.792354161031469"/>
    <s v="High"/>
    <x v="8"/>
    <n v="2026"/>
  </r>
  <r>
    <s v="ORD0249"/>
    <d v="2026-02-16T00:00:00"/>
    <x v="0"/>
    <x v="4"/>
    <x v="3"/>
    <x v="7"/>
    <n v="10260"/>
    <x v="248"/>
    <n v="64176.56"/>
    <x v="248"/>
    <x v="2"/>
    <n v="21.812183235867444"/>
    <s v="Low"/>
    <x v="8"/>
    <n v="2026"/>
  </r>
  <r>
    <s v="ORD0250"/>
    <d v="2026-02-17T00:00:00"/>
    <x v="3"/>
    <x v="7"/>
    <x v="5"/>
    <x v="4"/>
    <n v="48952"/>
    <x v="249"/>
    <n v="417453.15"/>
    <x v="249"/>
    <x v="2"/>
    <n v="14.721941902271615"/>
    <s v="High"/>
    <x v="8"/>
    <n v="2026"/>
  </r>
  <r>
    <s v="ORD0251"/>
    <d v="2026-02-18T00:00:00"/>
    <x v="2"/>
    <x v="5"/>
    <x v="0"/>
    <x v="6"/>
    <n v="22208"/>
    <x v="250"/>
    <n v="106883.81"/>
    <x v="250"/>
    <x v="0"/>
    <n v="19.785805415465898"/>
    <s v="Medium"/>
    <x v="8"/>
    <n v="2026"/>
  </r>
  <r>
    <s v="ORD0252"/>
    <d v="2026-02-19T00:00:00"/>
    <x v="0"/>
    <x v="1"/>
    <x v="5"/>
    <x v="2"/>
    <n v="43464"/>
    <x v="251"/>
    <n v="181434.21"/>
    <x v="251"/>
    <x v="3"/>
    <n v="16.512879624516842"/>
    <s v="High"/>
    <x v="8"/>
    <n v="2026"/>
  </r>
  <r>
    <s v="ORD0253"/>
    <d v="2026-02-20T00:00:00"/>
    <x v="0"/>
    <x v="1"/>
    <x v="3"/>
    <x v="4"/>
    <n v="25416"/>
    <x v="252"/>
    <n v="163763.6"/>
    <x v="252"/>
    <x v="0"/>
    <n v="35.566729619137547"/>
    <s v="High"/>
    <x v="8"/>
    <n v="2026"/>
  </r>
  <r>
    <s v="ORD0254"/>
    <d v="2026-02-21T00:00:00"/>
    <x v="2"/>
    <x v="6"/>
    <x v="0"/>
    <x v="7"/>
    <n v="21058"/>
    <x v="253"/>
    <n v="122243.22"/>
    <x v="253"/>
    <x v="3"/>
    <n v="27.436591794092507"/>
    <s v="Medium"/>
    <x v="8"/>
    <n v="2026"/>
  </r>
  <r>
    <s v="ORD0255"/>
    <d v="2026-02-22T00:00:00"/>
    <x v="0"/>
    <x v="6"/>
    <x v="3"/>
    <x v="7"/>
    <n v="48723"/>
    <x v="254"/>
    <n v="318929.31"/>
    <x v="254"/>
    <x v="2"/>
    <n v="18.17793701126778"/>
    <s v="High"/>
    <x v="8"/>
    <n v="2026"/>
  </r>
  <r>
    <s v="ORD0256"/>
    <d v="2026-02-23T00:00:00"/>
    <x v="0"/>
    <x v="7"/>
    <x v="5"/>
    <x v="1"/>
    <n v="25195"/>
    <x v="255"/>
    <n v="157396.49"/>
    <x v="255"/>
    <x v="2"/>
    <n v="30.58742254856563"/>
    <s v="High"/>
    <x v="8"/>
    <n v="2026"/>
  </r>
  <r>
    <s v="ORD0257"/>
    <d v="2026-02-24T00:00:00"/>
    <x v="0"/>
    <x v="5"/>
    <x v="4"/>
    <x v="2"/>
    <n v="40481"/>
    <x v="256"/>
    <n v="150843.14000000001"/>
    <x v="256"/>
    <x v="2"/>
    <n v="25.47459795953657"/>
    <s v="High"/>
    <x v="8"/>
    <n v="2026"/>
  </r>
  <r>
    <s v="ORD0258"/>
    <d v="2026-02-25T00:00:00"/>
    <x v="2"/>
    <x v="4"/>
    <x v="4"/>
    <x v="2"/>
    <n v="46696"/>
    <x v="257"/>
    <n v="154606.57"/>
    <x v="257"/>
    <x v="3"/>
    <n v="33.781664382388207"/>
    <s v="High"/>
    <x v="8"/>
    <n v="2026"/>
  </r>
  <r>
    <s v="ORD0259"/>
    <d v="2026-02-26T00:00:00"/>
    <x v="2"/>
    <x v="2"/>
    <x v="3"/>
    <x v="2"/>
    <n v="19360"/>
    <x v="258"/>
    <n v="61619.22"/>
    <x v="258"/>
    <x v="2"/>
    <n v="36.343780991735535"/>
    <s v="Low"/>
    <x v="8"/>
    <n v="2026"/>
  </r>
  <r>
    <s v="ORD0260"/>
    <d v="2026-02-27T00:00:00"/>
    <x v="1"/>
    <x v="4"/>
    <x v="4"/>
    <x v="0"/>
    <n v="19350"/>
    <x v="259"/>
    <n v="17155.599999999999"/>
    <x v="259"/>
    <x v="3"/>
    <n v="11.340568475452196"/>
    <s v="Low"/>
    <x v="8"/>
    <n v="2026"/>
  </r>
  <r>
    <s v="ORD0261"/>
    <d v="2026-02-28T00:00:00"/>
    <x v="3"/>
    <x v="5"/>
    <x v="4"/>
    <x v="7"/>
    <n v="14523"/>
    <x v="260"/>
    <n v="76753.52"/>
    <x v="260"/>
    <x v="1"/>
    <n v="33.937960476485578"/>
    <s v="Medium"/>
    <x v="8"/>
    <n v="2026"/>
  </r>
  <r>
    <s v="ORD0262"/>
    <d v="2026-03-01T00:00:00"/>
    <x v="0"/>
    <x v="6"/>
    <x v="3"/>
    <x v="4"/>
    <n v="16181"/>
    <x v="261"/>
    <n v="108855.64"/>
    <x v="261"/>
    <x v="0"/>
    <n v="32.726259192880541"/>
    <s v="Medium"/>
    <x v="9"/>
    <n v="2026"/>
  </r>
  <r>
    <s v="ORD0263"/>
    <d v="2026-03-02T00:00:00"/>
    <x v="0"/>
    <x v="1"/>
    <x v="5"/>
    <x v="6"/>
    <n v="47512"/>
    <x v="262"/>
    <n v="211443.94"/>
    <x v="262"/>
    <x v="1"/>
    <n v="25.827882078913394"/>
    <s v="High"/>
    <x v="9"/>
    <n v="2026"/>
  </r>
  <r>
    <s v="ORD0264"/>
    <d v="2026-03-03T00:00:00"/>
    <x v="3"/>
    <x v="4"/>
    <x v="1"/>
    <x v="7"/>
    <n v="31790"/>
    <x v="263"/>
    <n v="202225.5"/>
    <x v="263"/>
    <x v="2"/>
    <n v="20.483839257628183"/>
    <s v="High"/>
    <x v="9"/>
    <n v="2026"/>
  </r>
  <r>
    <s v="ORD0265"/>
    <d v="2026-03-04T00:00:00"/>
    <x v="1"/>
    <x v="0"/>
    <x v="0"/>
    <x v="8"/>
    <n v="43249"/>
    <x v="264"/>
    <n v="66797.22"/>
    <x v="264"/>
    <x v="3"/>
    <n v="22.775994820689494"/>
    <s v="Low"/>
    <x v="9"/>
    <n v="2026"/>
  </r>
  <r>
    <s v="ORD0266"/>
    <d v="2026-03-05T00:00:00"/>
    <x v="3"/>
    <x v="1"/>
    <x v="0"/>
    <x v="5"/>
    <n v="32965"/>
    <x v="265"/>
    <n v="151350.70000000001"/>
    <x v="265"/>
    <x v="0"/>
    <n v="34.410651990206063"/>
    <s v="High"/>
    <x v="9"/>
    <n v="2026"/>
  </r>
  <r>
    <s v="ORD0267"/>
    <d v="2026-03-06T00:00:00"/>
    <x v="3"/>
    <x v="5"/>
    <x v="3"/>
    <x v="4"/>
    <n v="7532"/>
    <x v="266"/>
    <n v="66171.37"/>
    <x v="266"/>
    <x v="3"/>
    <n v="12.146348911311735"/>
    <s v="Low"/>
    <x v="9"/>
    <n v="2026"/>
  </r>
  <r>
    <s v="ORD0268"/>
    <d v="2026-03-07T00:00:00"/>
    <x v="0"/>
    <x v="7"/>
    <x v="3"/>
    <x v="1"/>
    <n v="32869"/>
    <x v="267"/>
    <n v="256411.13"/>
    <x v="267"/>
    <x v="2"/>
    <n v="13.322201601644238"/>
    <s v="High"/>
    <x v="9"/>
    <n v="2026"/>
  </r>
  <r>
    <s v="ORD0269"/>
    <d v="2026-03-08T00:00:00"/>
    <x v="3"/>
    <x v="0"/>
    <x v="0"/>
    <x v="6"/>
    <n v="11149"/>
    <x v="268"/>
    <n v="54808.65"/>
    <x v="268"/>
    <x v="0"/>
    <n v="18.06641851287111"/>
    <s v="Low"/>
    <x v="9"/>
    <n v="2026"/>
  </r>
  <r>
    <s v="ORD0270"/>
    <d v="2026-03-09T00:00:00"/>
    <x v="0"/>
    <x v="2"/>
    <x v="4"/>
    <x v="4"/>
    <n v="44697"/>
    <x v="269"/>
    <n v="369726.8"/>
    <x v="269"/>
    <x v="3"/>
    <n v="17.281517775242186"/>
    <s v="High"/>
    <x v="9"/>
    <n v="2026"/>
  </r>
  <r>
    <s v="ORD0271"/>
    <d v="2026-03-10T00:00:00"/>
    <x v="0"/>
    <x v="0"/>
    <x v="4"/>
    <x v="8"/>
    <n v="26769"/>
    <x v="270"/>
    <n v="42871.99"/>
    <x v="270"/>
    <x v="3"/>
    <n v="19.922316859053382"/>
    <s v="Low"/>
    <x v="9"/>
    <n v="2026"/>
  </r>
  <r>
    <s v="ORD0272"/>
    <d v="2026-03-11T00:00:00"/>
    <x v="2"/>
    <x v="5"/>
    <x v="2"/>
    <x v="0"/>
    <n v="17590"/>
    <x v="271"/>
    <n v="12578.12"/>
    <x v="271"/>
    <x v="2"/>
    <n v="28.492779988629902"/>
    <s v="Low"/>
    <x v="9"/>
    <n v="2026"/>
  </r>
  <r>
    <s v="ORD0273"/>
    <d v="2026-03-12T00:00:00"/>
    <x v="3"/>
    <x v="6"/>
    <x v="3"/>
    <x v="4"/>
    <n v="1249"/>
    <x v="272"/>
    <n v="8474.0400000000009"/>
    <x v="272"/>
    <x v="0"/>
    <n v="32.153402722177745"/>
    <s v="Low"/>
    <x v="9"/>
    <n v="2026"/>
  </r>
  <r>
    <s v="ORD0274"/>
    <d v="2026-03-13T00:00:00"/>
    <x v="3"/>
    <x v="3"/>
    <x v="0"/>
    <x v="7"/>
    <n v="20606"/>
    <x v="273"/>
    <n v="106807.5"/>
    <x v="273"/>
    <x v="2"/>
    <n v="35.208495098514994"/>
    <s v="Medium"/>
    <x v="9"/>
    <n v="2026"/>
  </r>
  <r>
    <s v="ORD0275"/>
    <d v="2026-03-14T00:00:00"/>
    <x v="2"/>
    <x v="0"/>
    <x v="3"/>
    <x v="3"/>
    <n v="14860"/>
    <x v="274"/>
    <n v="52735.65"/>
    <x v="274"/>
    <x v="3"/>
    <n v="11.279189098250338"/>
    <s v="Low"/>
    <x v="9"/>
    <n v="2026"/>
  </r>
  <r>
    <s v="ORD0276"/>
    <d v="2026-03-15T00:00:00"/>
    <x v="2"/>
    <x v="6"/>
    <x v="4"/>
    <x v="5"/>
    <n v="46502"/>
    <x v="275"/>
    <n v="248943.46"/>
    <x v="275"/>
    <x v="1"/>
    <n v="23.522963682053611"/>
    <s v="High"/>
    <x v="9"/>
    <n v="2026"/>
  </r>
  <r>
    <s v="ORD0277"/>
    <d v="2026-03-16T00:00:00"/>
    <x v="3"/>
    <x v="3"/>
    <x v="3"/>
    <x v="8"/>
    <n v="34939"/>
    <x v="276"/>
    <n v="51292.160000000003"/>
    <x v="276"/>
    <x v="0"/>
    <n v="26.597555740004008"/>
    <s v="Low"/>
    <x v="9"/>
    <n v="2026"/>
  </r>
  <r>
    <s v="ORD0278"/>
    <d v="2026-03-17T00:00:00"/>
    <x v="0"/>
    <x v="0"/>
    <x v="3"/>
    <x v="1"/>
    <n v="13748"/>
    <x v="277"/>
    <n v="95497.66"/>
    <x v="277"/>
    <x v="2"/>
    <n v="22.818947402450458"/>
    <s v="Medium"/>
    <x v="9"/>
    <n v="2026"/>
  </r>
  <r>
    <s v="ORD0279"/>
    <d v="2026-03-18T00:00:00"/>
    <x v="2"/>
    <x v="3"/>
    <x v="5"/>
    <x v="8"/>
    <n v="45083"/>
    <x v="278"/>
    <n v="59655.67"/>
    <x v="278"/>
    <x v="3"/>
    <n v="33.837954439589204"/>
    <s v="Low"/>
    <x v="9"/>
    <n v="2026"/>
  </r>
  <r>
    <s v="ORD0280"/>
    <d v="2026-03-19T00:00:00"/>
    <x v="1"/>
    <x v="7"/>
    <x v="5"/>
    <x v="9"/>
    <n v="34136"/>
    <x v="279"/>
    <n v="74207.64"/>
    <x v="279"/>
    <x v="2"/>
    <n v="27.537262713850481"/>
    <s v="Medium"/>
    <x v="9"/>
    <n v="2026"/>
  </r>
  <r>
    <s v="ORD0281"/>
    <d v="2026-03-20T00:00:00"/>
    <x v="1"/>
    <x v="1"/>
    <x v="5"/>
    <x v="2"/>
    <n v="697"/>
    <x v="280"/>
    <n v="2870.74"/>
    <x v="280"/>
    <x v="3"/>
    <n v="17.625824964131994"/>
    <s v="Low"/>
    <x v="9"/>
    <n v="2026"/>
  </r>
  <r>
    <s v="ORD0282"/>
    <d v="2026-03-21T00:00:00"/>
    <x v="1"/>
    <x v="7"/>
    <x v="1"/>
    <x v="8"/>
    <n v="35965"/>
    <x v="281"/>
    <n v="64610.19"/>
    <x v="281"/>
    <x v="0"/>
    <n v="10.176296399277076"/>
    <s v="Low"/>
    <x v="9"/>
    <n v="2026"/>
  </r>
  <r>
    <s v="ORD0283"/>
    <d v="2026-03-22T00:00:00"/>
    <x v="2"/>
    <x v="4"/>
    <x v="5"/>
    <x v="9"/>
    <n v="9375"/>
    <x v="282"/>
    <n v="23336.67"/>
    <x v="282"/>
    <x v="3"/>
    <n v="17.025173333333331"/>
    <s v="Low"/>
    <x v="9"/>
    <n v="2026"/>
  </r>
  <r>
    <s v="ORD0284"/>
    <d v="2026-03-23T00:00:00"/>
    <x v="0"/>
    <x v="4"/>
    <x v="5"/>
    <x v="5"/>
    <n v="5759"/>
    <x v="283"/>
    <n v="32444.67"/>
    <x v="283"/>
    <x v="0"/>
    <n v="19.518095899585742"/>
    <s v="Low"/>
    <x v="9"/>
    <n v="2026"/>
  </r>
  <r>
    <s v="ORD0285"/>
    <d v="2026-03-24T00:00:00"/>
    <x v="0"/>
    <x v="1"/>
    <x v="3"/>
    <x v="5"/>
    <n v="35158"/>
    <x v="284"/>
    <n v="157065.85999999999"/>
    <x v="284"/>
    <x v="0"/>
    <n v="36.179589282666818"/>
    <s v="High"/>
    <x v="9"/>
    <n v="2026"/>
  </r>
  <r>
    <s v="ORD0286"/>
    <d v="2026-03-25T00:00:00"/>
    <x v="0"/>
    <x v="6"/>
    <x v="5"/>
    <x v="1"/>
    <n v="28295"/>
    <x v="285"/>
    <n v="193430.87"/>
    <x v="285"/>
    <x v="3"/>
    <n v="24.041990143527517"/>
    <s v="High"/>
    <x v="9"/>
    <n v="2026"/>
  </r>
  <r>
    <s v="ORD0287"/>
    <d v="2026-03-26T00:00:00"/>
    <x v="1"/>
    <x v="1"/>
    <x v="2"/>
    <x v="2"/>
    <n v="12852"/>
    <x v="286"/>
    <n v="56627.4"/>
    <x v="286"/>
    <x v="3"/>
    <n v="11.877684407096172"/>
    <s v="Low"/>
    <x v="9"/>
    <n v="2026"/>
  </r>
  <r>
    <s v="ORD0288"/>
    <d v="2026-03-27T00:00:00"/>
    <x v="1"/>
    <x v="7"/>
    <x v="0"/>
    <x v="3"/>
    <n v="14005"/>
    <x v="287"/>
    <n v="34742.89"/>
    <x v="287"/>
    <x v="0"/>
    <n v="37.98127454480543"/>
    <s v="Low"/>
    <x v="9"/>
    <n v="2026"/>
  </r>
  <r>
    <s v="ORD0289"/>
    <d v="2026-03-28T00:00:00"/>
    <x v="0"/>
    <x v="1"/>
    <x v="1"/>
    <x v="0"/>
    <n v="26862"/>
    <x v="288"/>
    <n v="19654.63"/>
    <x v="288"/>
    <x v="1"/>
    <n v="26.831099694736061"/>
    <s v="Low"/>
    <x v="9"/>
    <n v="2026"/>
  </r>
  <r>
    <s v="ORD0290"/>
    <d v="2026-03-29T00:00:00"/>
    <x v="3"/>
    <x v="6"/>
    <x v="4"/>
    <x v="3"/>
    <n v="48440"/>
    <x v="289"/>
    <n v="149744.14000000001"/>
    <x v="289"/>
    <x v="2"/>
    <n v="22.716690751445086"/>
    <s v="Medium"/>
    <x v="9"/>
    <n v="2026"/>
  </r>
  <r>
    <s v="ORD0291"/>
    <d v="2026-03-30T00:00:00"/>
    <x v="3"/>
    <x v="1"/>
    <x v="1"/>
    <x v="1"/>
    <n v="14986"/>
    <x v="290"/>
    <n v="97657.96"/>
    <x v="290"/>
    <x v="1"/>
    <n v="27.593190681673267"/>
    <s v="Medium"/>
    <x v="9"/>
    <n v="2026"/>
  </r>
  <r>
    <s v="ORD0292"/>
    <d v="2026-03-31T00:00:00"/>
    <x v="3"/>
    <x v="2"/>
    <x v="1"/>
    <x v="5"/>
    <n v="36928"/>
    <x v="291"/>
    <n v="193532.4"/>
    <x v="291"/>
    <x v="2"/>
    <n v="25.1313753404308"/>
    <s v="High"/>
    <x v="9"/>
    <n v="2026"/>
  </r>
  <r>
    <s v="ORD0293"/>
    <d v="2026-04-01T00:00:00"/>
    <x v="0"/>
    <x v="7"/>
    <x v="5"/>
    <x v="5"/>
    <n v="10279"/>
    <x v="292"/>
    <n v="49645.16"/>
    <x v="292"/>
    <x v="1"/>
    <n v="31.00334940864175"/>
    <s v="Low"/>
    <x v="10"/>
    <n v="2026"/>
  </r>
  <r>
    <s v="ORD0294"/>
    <d v="2026-04-02T00:00:00"/>
    <x v="2"/>
    <x v="2"/>
    <x v="4"/>
    <x v="9"/>
    <n v="30844"/>
    <x v="293"/>
    <n v="80912.05"/>
    <x v="293"/>
    <x v="1"/>
    <n v="12.557763800631133"/>
    <s v="Low"/>
    <x v="10"/>
    <n v="2026"/>
  </r>
  <r>
    <s v="ORD0295"/>
    <d v="2026-04-03T00:00:00"/>
    <x v="1"/>
    <x v="7"/>
    <x v="2"/>
    <x v="2"/>
    <n v="13825"/>
    <x v="294"/>
    <n v="48323.83"/>
    <x v="294"/>
    <x v="2"/>
    <n v="30.092108499095836"/>
    <s v="Low"/>
    <x v="10"/>
    <n v="2026"/>
  </r>
  <r>
    <s v="ORD0296"/>
    <d v="2026-04-04T00:00:00"/>
    <x v="1"/>
    <x v="3"/>
    <x v="3"/>
    <x v="3"/>
    <n v="3877"/>
    <x v="295"/>
    <n v="10553.79"/>
    <x v="295"/>
    <x v="1"/>
    <n v="31.946156822285271"/>
    <s v="Low"/>
    <x v="10"/>
    <n v="2026"/>
  </r>
  <r>
    <s v="ORD0297"/>
    <d v="2026-04-05T00:00:00"/>
    <x v="3"/>
    <x v="5"/>
    <x v="1"/>
    <x v="1"/>
    <n v="14722"/>
    <x v="296"/>
    <n v="98554.43"/>
    <x v="296"/>
    <x v="0"/>
    <n v="25.61817536868481"/>
    <s v="Medium"/>
    <x v="10"/>
    <n v="2026"/>
  </r>
  <r>
    <s v="ORD0298"/>
    <d v="2026-04-06T00:00:00"/>
    <x v="2"/>
    <x v="6"/>
    <x v="2"/>
    <x v="8"/>
    <n v="49447"/>
    <x v="297"/>
    <n v="88991.9"/>
    <x v="297"/>
    <x v="1"/>
    <n v="10.012842032883693"/>
    <s v="Low"/>
    <x v="10"/>
    <n v="2026"/>
  </r>
  <r>
    <s v="ORD0299"/>
    <d v="2026-04-07T00:00:00"/>
    <x v="2"/>
    <x v="7"/>
    <x v="2"/>
    <x v="1"/>
    <n v="21577"/>
    <x v="298"/>
    <n v="161695.60999999999"/>
    <x v="298"/>
    <x v="2"/>
    <n v="16.734583635867409"/>
    <s v="Medium"/>
    <x v="10"/>
    <n v="2026"/>
  </r>
  <r>
    <s v="ORD0300"/>
    <d v="2026-04-08T00:00:00"/>
    <x v="2"/>
    <x v="3"/>
    <x v="4"/>
    <x v="6"/>
    <n v="34107"/>
    <x v="299"/>
    <n v="176983.32"/>
    <x v="299"/>
    <x v="3"/>
    <n v="13.515641950332776"/>
    <s v="High"/>
    <x v="10"/>
    <n v="2026"/>
  </r>
  <r>
    <s v="ORD0301"/>
    <d v="2026-04-09T00:00:00"/>
    <x v="0"/>
    <x v="0"/>
    <x v="2"/>
    <x v="6"/>
    <n v="21007"/>
    <x v="300"/>
    <n v="91276.98"/>
    <x v="300"/>
    <x v="0"/>
    <n v="27.582091683724467"/>
    <s v="Medium"/>
    <x v="10"/>
    <n v="2026"/>
  </r>
  <r>
    <s v="ORD0302"/>
    <d v="2026-04-10T00:00:00"/>
    <x v="3"/>
    <x v="0"/>
    <x v="3"/>
    <x v="4"/>
    <n v="38454"/>
    <x v="301"/>
    <n v="313786.02"/>
    <x v="301"/>
    <x v="1"/>
    <n v="18.399641129661411"/>
    <s v="High"/>
    <x v="10"/>
    <n v="2026"/>
  </r>
  <r>
    <s v="ORD0303"/>
    <d v="2026-04-11T00:00:00"/>
    <x v="2"/>
    <x v="4"/>
    <x v="2"/>
    <x v="5"/>
    <n v="37841"/>
    <x v="302"/>
    <n v="225156.28"/>
    <x v="302"/>
    <x v="2"/>
    <n v="14.999120379633579"/>
    <s v="High"/>
    <x v="10"/>
    <n v="2026"/>
  </r>
  <r>
    <s v="ORD0304"/>
    <d v="2026-04-12T00:00:00"/>
    <x v="3"/>
    <x v="0"/>
    <x v="1"/>
    <x v="7"/>
    <n v="30700"/>
    <x v="303"/>
    <n v="159755.46"/>
    <x v="303"/>
    <x v="1"/>
    <n v="34.952988599348537"/>
    <s v="High"/>
    <x v="10"/>
    <n v="2026"/>
  </r>
  <r>
    <s v="ORD0305"/>
    <d v="2026-04-13T00:00:00"/>
    <x v="1"/>
    <x v="1"/>
    <x v="5"/>
    <x v="9"/>
    <n v="36029"/>
    <x v="304"/>
    <n v="96964.53"/>
    <x v="304"/>
    <x v="0"/>
    <n v="10.29029392988981"/>
    <s v="Medium"/>
    <x v="10"/>
    <n v="2026"/>
  </r>
  <r>
    <s v="ORD0306"/>
    <d v="2026-04-14T00:00:00"/>
    <x v="0"/>
    <x v="3"/>
    <x v="0"/>
    <x v="0"/>
    <n v="27526"/>
    <x v="305"/>
    <n v="17650.98"/>
    <x v="305"/>
    <x v="1"/>
    <n v="35.875245222698545"/>
    <s v="Low"/>
    <x v="10"/>
    <n v="2026"/>
  </r>
  <r>
    <s v="ORD0307"/>
    <d v="2026-04-15T00:00:00"/>
    <x v="2"/>
    <x v="7"/>
    <x v="2"/>
    <x v="1"/>
    <n v="30385"/>
    <x v="306"/>
    <n v="194696.2"/>
    <x v="306"/>
    <x v="0"/>
    <n v="28.803978571297971"/>
    <s v="High"/>
    <x v="10"/>
    <n v="2026"/>
  </r>
  <r>
    <s v="ORD0308"/>
    <d v="2026-04-16T00:00:00"/>
    <x v="3"/>
    <x v="5"/>
    <x v="3"/>
    <x v="1"/>
    <n v="27457"/>
    <x v="307"/>
    <n v="149146.35999999999"/>
    <x v="307"/>
    <x v="0"/>
    <n v="39.644470343527047"/>
    <s v="High"/>
    <x v="10"/>
    <n v="2026"/>
  </r>
  <r>
    <s v="ORD0309"/>
    <d v="2026-04-17T00:00:00"/>
    <x v="1"/>
    <x v="0"/>
    <x v="1"/>
    <x v="5"/>
    <n v="12248"/>
    <x v="308"/>
    <n v="54194.15"/>
    <x v="308"/>
    <x v="1"/>
    <n v="36.789504992068672"/>
    <s v="Low"/>
    <x v="10"/>
    <n v="2026"/>
  </r>
  <r>
    <s v="ORD0310"/>
    <d v="2026-04-18T00:00:00"/>
    <x v="3"/>
    <x v="2"/>
    <x v="3"/>
    <x v="1"/>
    <n v="17042"/>
    <x v="309"/>
    <n v="129537.59"/>
    <x v="309"/>
    <x v="0"/>
    <n v="15.5435655700296"/>
    <s v="Medium"/>
    <x v="10"/>
    <n v="2026"/>
  </r>
  <r>
    <s v="ORD0311"/>
    <d v="2026-04-19T00:00:00"/>
    <x v="0"/>
    <x v="5"/>
    <x v="5"/>
    <x v="7"/>
    <n v="37527"/>
    <x v="310"/>
    <n v="202034.07"/>
    <x v="310"/>
    <x v="0"/>
    <n v="32.703763290430885"/>
    <s v="High"/>
    <x v="10"/>
    <n v="2026"/>
  </r>
  <r>
    <s v="ORD0312"/>
    <d v="2026-04-20T00:00:00"/>
    <x v="2"/>
    <x v="7"/>
    <x v="1"/>
    <x v="0"/>
    <n v="6627"/>
    <x v="311"/>
    <n v="4781.93"/>
    <x v="311"/>
    <x v="0"/>
    <n v="27.841708163573259"/>
    <s v="Low"/>
    <x v="10"/>
    <n v="2026"/>
  </r>
  <r>
    <s v="ORD0313"/>
    <d v="2026-04-21T00:00:00"/>
    <x v="2"/>
    <x v="4"/>
    <x v="0"/>
    <x v="9"/>
    <n v="5918"/>
    <x v="312"/>
    <n v="13314.75"/>
    <x v="312"/>
    <x v="0"/>
    <n v="25.004224400135183"/>
    <s v="Low"/>
    <x v="10"/>
    <n v="2026"/>
  </r>
  <r>
    <s v="ORD0314"/>
    <d v="2026-04-22T00:00:00"/>
    <x v="2"/>
    <x v="5"/>
    <x v="0"/>
    <x v="3"/>
    <n v="14355"/>
    <x v="313"/>
    <n v="49977.33"/>
    <x v="313"/>
    <x v="0"/>
    <n v="12.961807732497387"/>
    <s v="Low"/>
    <x v="10"/>
    <n v="2026"/>
  </r>
  <r>
    <s v="ORD0315"/>
    <d v="2026-04-23T00:00:00"/>
    <x v="1"/>
    <x v="0"/>
    <x v="1"/>
    <x v="2"/>
    <n v="36088"/>
    <x v="314"/>
    <n v="138767.92000000001"/>
    <x v="314"/>
    <x v="2"/>
    <n v="23.094701839946801"/>
    <s v="Medium"/>
    <x v="10"/>
    <n v="2026"/>
  </r>
  <r>
    <s v="ORD0316"/>
    <d v="2026-04-24T00:00:00"/>
    <x v="2"/>
    <x v="3"/>
    <x v="2"/>
    <x v="4"/>
    <n v="9949"/>
    <x v="315"/>
    <n v="82146.539999999994"/>
    <x v="315"/>
    <x v="2"/>
    <n v="17.432365061815258"/>
    <s v="Low"/>
    <x v="10"/>
    <n v="2026"/>
  </r>
  <r>
    <s v="ORD0317"/>
    <d v="2026-04-25T00:00:00"/>
    <x v="2"/>
    <x v="4"/>
    <x v="3"/>
    <x v="3"/>
    <n v="37638"/>
    <x v="316"/>
    <n v="128028.69"/>
    <x v="316"/>
    <x v="3"/>
    <n v="14.960485413677668"/>
    <s v="Medium"/>
    <x v="10"/>
    <n v="2026"/>
  </r>
  <r>
    <s v="ORD0318"/>
    <d v="2026-04-26T00:00:00"/>
    <x v="3"/>
    <x v="1"/>
    <x v="1"/>
    <x v="8"/>
    <n v="33319"/>
    <x v="317"/>
    <n v="54885.52"/>
    <x v="317"/>
    <x v="0"/>
    <n v="17.636303610552538"/>
    <s v="Low"/>
    <x v="10"/>
    <n v="2026"/>
  </r>
  <r>
    <s v="ORD0319"/>
    <d v="2026-04-27T00:00:00"/>
    <x v="2"/>
    <x v="4"/>
    <x v="2"/>
    <x v="8"/>
    <n v="22821"/>
    <x v="318"/>
    <n v="35671.53"/>
    <x v="318"/>
    <x v="0"/>
    <n v="21.84494544498488"/>
    <s v="Low"/>
    <x v="10"/>
    <n v="2026"/>
  </r>
  <r>
    <s v="ORD0320"/>
    <d v="2026-04-28T00:00:00"/>
    <x v="2"/>
    <x v="2"/>
    <x v="4"/>
    <x v="7"/>
    <n v="32652"/>
    <x v="319"/>
    <n v="174607.62"/>
    <x v="319"/>
    <x v="1"/>
    <n v="33.155848033811104"/>
    <s v="High"/>
    <x v="10"/>
    <n v="2026"/>
  </r>
  <r>
    <s v="ORD0321"/>
    <d v="2026-04-29T00:00:00"/>
    <x v="3"/>
    <x v="6"/>
    <x v="3"/>
    <x v="5"/>
    <n v="6116"/>
    <x v="320"/>
    <n v="35604.61"/>
    <x v="320"/>
    <x v="0"/>
    <n v="16.834976174904234"/>
    <s v="Low"/>
    <x v="10"/>
    <n v="2026"/>
  </r>
  <r>
    <s v="ORD0322"/>
    <d v="2026-04-30T00:00:00"/>
    <x v="0"/>
    <x v="2"/>
    <x v="4"/>
    <x v="9"/>
    <n v="25403"/>
    <x v="321"/>
    <n v="61996.26"/>
    <x v="321"/>
    <x v="2"/>
    <n v="18.649687044837222"/>
    <s v="Low"/>
    <x v="10"/>
    <n v="2026"/>
  </r>
  <r>
    <s v="ORD0323"/>
    <d v="2026-05-01T00:00:00"/>
    <x v="2"/>
    <x v="4"/>
    <x v="0"/>
    <x v="8"/>
    <n v="840"/>
    <x v="322"/>
    <n v="1483.25"/>
    <x v="322"/>
    <x v="2"/>
    <n v="11.711309523809524"/>
    <s v="Low"/>
    <x v="11"/>
    <n v="2026"/>
  </r>
  <r>
    <s v="ORD0324"/>
    <d v="2026-05-02T00:00:00"/>
    <x v="2"/>
    <x v="3"/>
    <x v="2"/>
    <x v="8"/>
    <n v="12780"/>
    <x v="323"/>
    <n v="18640.75"/>
    <x v="323"/>
    <x v="0"/>
    <n v="27.070618153364634"/>
    <s v="Low"/>
    <x v="11"/>
    <n v="2026"/>
  </r>
  <r>
    <s v="ORD0325"/>
    <d v="2026-05-03T00:00:00"/>
    <x v="3"/>
    <x v="2"/>
    <x v="4"/>
    <x v="1"/>
    <n v="6599"/>
    <x v="324"/>
    <n v="46270.18"/>
    <x v="324"/>
    <x v="0"/>
    <n v="22.09226987253961"/>
    <s v="Low"/>
    <x v="11"/>
    <n v="2026"/>
  </r>
  <r>
    <s v="ORD0326"/>
    <d v="2026-05-04T00:00:00"/>
    <x v="0"/>
    <x v="0"/>
    <x v="5"/>
    <x v="5"/>
    <n v="6050"/>
    <x v="325"/>
    <n v="34619.14"/>
    <x v="325"/>
    <x v="3"/>
    <n v="18.254687131050769"/>
    <s v="Low"/>
    <x v="11"/>
    <n v="2026"/>
  </r>
  <r>
    <s v="ORD0327"/>
    <d v="2026-05-05T00:00:00"/>
    <x v="0"/>
    <x v="3"/>
    <x v="2"/>
    <x v="2"/>
    <n v="20234"/>
    <x v="326"/>
    <n v="68848.41"/>
    <x v="326"/>
    <x v="1"/>
    <n v="31.947800731442129"/>
    <s v="Medium"/>
    <x v="11"/>
    <n v="2026"/>
  </r>
  <r>
    <s v="ORD0328"/>
    <d v="2026-05-06T00:00:00"/>
    <x v="1"/>
    <x v="4"/>
    <x v="4"/>
    <x v="5"/>
    <n v="20144"/>
    <x v="327"/>
    <n v="105088.95"/>
    <x v="327"/>
    <x v="2"/>
    <n v="25.473058266197661"/>
    <s v="Medium"/>
    <x v="11"/>
    <n v="2026"/>
  </r>
  <r>
    <s v="ORD0329"/>
    <d v="2026-05-07T00:00:00"/>
    <x v="2"/>
    <x v="3"/>
    <x v="1"/>
    <x v="7"/>
    <n v="39415"/>
    <x v="328"/>
    <n v="247526.39999999999"/>
    <x v="328"/>
    <x v="1"/>
    <n v="21.499936572370927"/>
    <s v="High"/>
    <x v="11"/>
    <n v="2026"/>
  </r>
  <r>
    <s v="ORD0330"/>
    <d v="2026-05-08T00:00:00"/>
    <x v="2"/>
    <x v="4"/>
    <x v="0"/>
    <x v="5"/>
    <n v="22272"/>
    <x v="329"/>
    <n v="132905.67000000001"/>
    <x v="329"/>
    <x v="3"/>
    <n v="14.751597136699509"/>
    <s v="Medium"/>
    <x v="11"/>
    <n v="2026"/>
  </r>
  <r>
    <s v="ORD0331"/>
    <d v="2026-05-09T00:00:00"/>
    <x v="0"/>
    <x v="7"/>
    <x v="5"/>
    <x v="4"/>
    <n v="9421"/>
    <x v="330"/>
    <n v="65017.2"/>
    <x v="330"/>
    <x v="2"/>
    <n v="30.986944061140004"/>
    <s v="Low"/>
    <x v="11"/>
    <n v="2026"/>
  </r>
  <r>
    <s v="ORD0332"/>
    <d v="2026-05-10T00:00:00"/>
    <x v="2"/>
    <x v="6"/>
    <x v="5"/>
    <x v="6"/>
    <n v="19600"/>
    <x v="331"/>
    <n v="96486.37"/>
    <x v="331"/>
    <x v="2"/>
    <n v="17.953767006802725"/>
    <s v="Medium"/>
    <x v="11"/>
    <n v="2026"/>
  </r>
  <r>
    <s v="ORD0333"/>
    <d v="2026-05-11T00:00:00"/>
    <x v="0"/>
    <x v="0"/>
    <x v="4"/>
    <x v="5"/>
    <n v="24421"/>
    <x v="332"/>
    <n v="108408.83"/>
    <x v="332"/>
    <x v="0"/>
    <n v="36.583367944450615"/>
    <s v="Medium"/>
    <x v="11"/>
    <n v="2026"/>
  </r>
  <r>
    <s v="ORD0334"/>
    <d v="2026-05-12T00:00:00"/>
    <x v="1"/>
    <x v="2"/>
    <x v="1"/>
    <x v="3"/>
    <n v="29234"/>
    <x v="333"/>
    <n v="98145.05"/>
    <x v="333"/>
    <x v="3"/>
    <n v="16.069431141821166"/>
    <s v="Medium"/>
    <x v="11"/>
    <n v="2026"/>
  </r>
  <r>
    <s v="ORD0335"/>
    <d v="2026-05-13T00:00:00"/>
    <x v="0"/>
    <x v="2"/>
    <x v="1"/>
    <x v="2"/>
    <n v="16361"/>
    <x v="334"/>
    <n v="55284.19"/>
    <x v="334"/>
    <x v="3"/>
    <n v="32.419546482488848"/>
    <s v="Low"/>
    <x v="11"/>
    <n v="2026"/>
  </r>
  <r>
    <s v="ORD0336"/>
    <d v="2026-05-14T00:00:00"/>
    <x v="2"/>
    <x v="1"/>
    <x v="5"/>
    <x v="4"/>
    <n v="31907"/>
    <x v="335"/>
    <n v="247174.98"/>
    <x v="335"/>
    <x v="2"/>
    <n v="22.532679349359075"/>
    <s v="High"/>
    <x v="11"/>
    <n v="2026"/>
  </r>
  <r>
    <s v="ORD0337"/>
    <d v="2026-05-15T00:00:00"/>
    <x v="1"/>
    <x v="6"/>
    <x v="3"/>
    <x v="4"/>
    <n v="42323"/>
    <x v="336"/>
    <n v="370038.61"/>
    <x v="336"/>
    <x v="2"/>
    <n v="12.567963046097866"/>
    <s v="High"/>
    <x v="11"/>
    <n v="2026"/>
  </r>
  <r>
    <s v="ORD0338"/>
    <d v="2026-05-16T00:00:00"/>
    <x v="2"/>
    <x v="4"/>
    <x v="1"/>
    <x v="4"/>
    <n v="3403"/>
    <x v="337"/>
    <n v="26167.919999999998"/>
    <x v="337"/>
    <x v="3"/>
    <n v="23.103379371143109"/>
    <s v="Low"/>
    <x v="11"/>
    <n v="2026"/>
  </r>
  <r>
    <s v="ORD0339"/>
    <d v="2026-05-17T00:00:00"/>
    <x v="0"/>
    <x v="7"/>
    <x v="0"/>
    <x v="8"/>
    <n v="17456"/>
    <x v="338"/>
    <n v="23272.35"/>
    <x v="338"/>
    <x v="2"/>
    <n v="33.339969065077909"/>
    <s v="Low"/>
    <x v="11"/>
    <n v="2026"/>
  </r>
  <r>
    <s v="ORD0340"/>
    <d v="2026-05-18T00:00:00"/>
    <x v="3"/>
    <x v="1"/>
    <x v="5"/>
    <x v="4"/>
    <n v="45748"/>
    <x v="339"/>
    <n v="343173.93"/>
    <x v="339"/>
    <x v="3"/>
    <n v="24.986025618606281"/>
    <s v="High"/>
    <x v="11"/>
    <n v="2026"/>
  </r>
  <r>
    <s v="ORD0341"/>
    <d v="2026-05-19T00:00:00"/>
    <x v="0"/>
    <x v="4"/>
    <x v="4"/>
    <x v="5"/>
    <n v="6126"/>
    <x v="340"/>
    <n v="27222.39"/>
    <x v="340"/>
    <x v="2"/>
    <n v="36.517909612424795"/>
    <s v="Low"/>
    <x v="11"/>
    <n v="2026"/>
  </r>
  <r>
    <s v="ORD0342"/>
    <d v="2026-05-20T00:00:00"/>
    <x v="2"/>
    <x v="3"/>
    <x v="5"/>
    <x v="3"/>
    <n v="34651"/>
    <x v="341"/>
    <n v="103243.04"/>
    <x v="341"/>
    <x v="3"/>
    <n v="25.512221869498713"/>
    <s v="Medium"/>
    <x v="11"/>
    <n v="2026"/>
  </r>
  <r>
    <s v="ORD0343"/>
    <d v="2026-05-21T00:00:00"/>
    <x v="1"/>
    <x v="1"/>
    <x v="5"/>
    <x v="6"/>
    <n v="4902"/>
    <x v="342"/>
    <n v="20296.61"/>
    <x v="342"/>
    <x v="2"/>
    <n v="30.992078063375487"/>
    <s v="Low"/>
    <x v="11"/>
    <n v="2026"/>
  </r>
  <r>
    <s v="ORD0344"/>
    <d v="2026-05-22T00:00:00"/>
    <x v="0"/>
    <x v="0"/>
    <x v="0"/>
    <x v="9"/>
    <n v="49028"/>
    <x v="343"/>
    <n v="99013.11"/>
    <x v="343"/>
    <x v="2"/>
    <n v="32.682609937178754"/>
    <s v="Medium"/>
    <x v="11"/>
    <n v="2026"/>
  </r>
  <r>
    <s v="ORD0345"/>
    <d v="2026-05-23T00:00:00"/>
    <x v="0"/>
    <x v="0"/>
    <x v="5"/>
    <x v="7"/>
    <n v="15694"/>
    <x v="344"/>
    <n v="105379.15"/>
    <x v="344"/>
    <x v="3"/>
    <n v="16.067326685357461"/>
    <s v="Medium"/>
    <x v="11"/>
    <n v="2026"/>
  </r>
  <r>
    <s v="ORD0346"/>
    <d v="2026-05-24T00:00:00"/>
    <x v="2"/>
    <x v="2"/>
    <x v="0"/>
    <x v="4"/>
    <n v="13431"/>
    <x v="345"/>
    <n v="98700.73"/>
    <x v="345"/>
    <x v="0"/>
    <n v="26.512746630928447"/>
    <s v="Medium"/>
    <x v="11"/>
    <n v="2026"/>
  </r>
  <r>
    <s v="ORD0347"/>
    <d v="2026-05-25T00:00:00"/>
    <x v="1"/>
    <x v="3"/>
    <x v="2"/>
    <x v="3"/>
    <n v="18741"/>
    <x v="346"/>
    <n v="61897.599999999999"/>
    <x v="346"/>
    <x v="1"/>
    <n v="17.430233178592392"/>
    <s v="Low"/>
    <x v="11"/>
    <n v="2026"/>
  </r>
  <r>
    <s v="ORD0348"/>
    <d v="2026-05-26T00:00:00"/>
    <x v="2"/>
    <x v="4"/>
    <x v="4"/>
    <x v="3"/>
    <n v="30486"/>
    <x v="347"/>
    <n v="77335.240000000005"/>
    <x v="347"/>
    <x v="3"/>
    <n v="36.5813488158499"/>
    <s v="Medium"/>
    <x v="11"/>
    <n v="2026"/>
  </r>
  <r>
    <s v="ORD0349"/>
    <d v="2026-05-27T00:00:00"/>
    <x v="2"/>
    <x v="0"/>
    <x v="5"/>
    <x v="4"/>
    <n v="7986"/>
    <x v="348"/>
    <n v="56251.58"/>
    <x v="348"/>
    <x v="2"/>
    <n v="29.56225895316804"/>
    <s v="Low"/>
    <x v="11"/>
    <n v="2026"/>
  </r>
  <r>
    <s v="ORD0350"/>
    <d v="2026-05-28T00:00:00"/>
    <x v="1"/>
    <x v="6"/>
    <x v="3"/>
    <x v="8"/>
    <n v="44547"/>
    <x v="349"/>
    <n v="57036.58"/>
    <x v="349"/>
    <x v="2"/>
    <n v="35.98157002716232"/>
    <s v="Low"/>
    <x v="11"/>
    <n v="2026"/>
  </r>
  <r>
    <s v="ORD0351"/>
    <d v="2026-05-29T00:00:00"/>
    <x v="2"/>
    <x v="2"/>
    <x v="2"/>
    <x v="6"/>
    <n v="45945"/>
    <x v="350"/>
    <n v="177092.49"/>
    <x v="350"/>
    <x v="1"/>
    <n v="35.759244749156601"/>
    <s v="High"/>
    <x v="11"/>
    <n v="2026"/>
  </r>
  <r>
    <s v="ORD0352"/>
    <d v="2026-05-30T00:00:00"/>
    <x v="0"/>
    <x v="0"/>
    <x v="5"/>
    <x v="5"/>
    <n v="12673"/>
    <x v="351"/>
    <n v="66178.5"/>
    <x v="351"/>
    <x v="3"/>
    <n v="25.399894037943433"/>
    <s v="Low"/>
    <x v="11"/>
    <n v="2026"/>
  </r>
  <r>
    <s v="ORD0353"/>
    <d v="2026-05-31T00:00:00"/>
    <x v="1"/>
    <x v="4"/>
    <x v="2"/>
    <x v="9"/>
    <n v="21116"/>
    <x v="352"/>
    <n v="54010.22"/>
    <x v="352"/>
    <x v="0"/>
    <n v="14.740449580097243"/>
    <s v="Low"/>
    <x v="11"/>
    <n v="2026"/>
  </r>
  <r>
    <s v="ORD0354"/>
    <d v="2026-06-01T00:00:00"/>
    <x v="2"/>
    <x v="2"/>
    <x v="2"/>
    <x v="3"/>
    <n v="25662"/>
    <x v="353"/>
    <n v="91269.34"/>
    <x v="353"/>
    <x v="3"/>
    <n v="11.085125867040761"/>
    <s v="Medium"/>
    <x v="0"/>
    <n v="2026"/>
  </r>
  <r>
    <s v="ORD0355"/>
    <d v="2026-06-02T00:00:00"/>
    <x v="1"/>
    <x v="6"/>
    <x v="1"/>
    <x v="7"/>
    <n v="32527"/>
    <x v="354"/>
    <n v="169186.21"/>
    <x v="354"/>
    <x v="2"/>
    <n v="34.982395394595258"/>
    <s v="High"/>
    <x v="0"/>
    <n v="2026"/>
  </r>
  <r>
    <s v="ORD0356"/>
    <d v="2026-06-03T00:00:00"/>
    <x v="2"/>
    <x v="7"/>
    <x v="4"/>
    <x v="3"/>
    <n v="35732"/>
    <x v="355"/>
    <n v="98134.52"/>
    <x v="355"/>
    <x v="0"/>
    <n v="31.339891413858727"/>
    <s v="Medium"/>
    <x v="0"/>
    <n v="2026"/>
  </r>
  <r>
    <s v="ORD0357"/>
    <d v="2026-06-04T00:00:00"/>
    <x v="3"/>
    <x v="1"/>
    <x v="0"/>
    <x v="2"/>
    <n v="36093"/>
    <x v="356"/>
    <n v="152851.12"/>
    <x v="356"/>
    <x v="3"/>
    <n v="15.301515529327018"/>
    <s v="Medium"/>
    <x v="0"/>
    <n v="2026"/>
  </r>
  <r>
    <s v="ORD0358"/>
    <d v="2026-06-05T00:00:00"/>
    <x v="0"/>
    <x v="5"/>
    <x v="2"/>
    <x v="5"/>
    <n v="7211"/>
    <x v="357"/>
    <n v="41431.35"/>
    <x v="357"/>
    <x v="0"/>
    <n v="17.920339956812011"/>
    <s v="Low"/>
    <x v="0"/>
    <n v="2026"/>
  </r>
  <r>
    <s v="ORD0359"/>
    <d v="2026-06-06T00:00:00"/>
    <x v="1"/>
    <x v="6"/>
    <x v="4"/>
    <x v="6"/>
    <n v="6200"/>
    <x v="358"/>
    <n v="27220.02"/>
    <x v="358"/>
    <x v="1"/>
    <n v="26.827903225806448"/>
    <s v="Low"/>
    <x v="0"/>
    <n v="2026"/>
  </r>
  <r>
    <s v="ORD0360"/>
    <d v="2026-06-07T00:00:00"/>
    <x v="2"/>
    <x v="0"/>
    <x v="1"/>
    <x v="6"/>
    <n v="47079"/>
    <x v="359"/>
    <n v="221199.33"/>
    <x v="359"/>
    <x v="1"/>
    <n v="21.69214511778075"/>
    <s v="High"/>
    <x v="0"/>
    <n v="2026"/>
  </r>
  <r>
    <s v="ORD0361"/>
    <d v="2026-06-08T00:00:00"/>
    <x v="3"/>
    <x v="0"/>
    <x v="2"/>
    <x v="0"/>
    <n v="37860"/>
    <x v="360"/>
    <n v="26700.560000000001"/>
    <x v="360"/>
    <x v="2"/>
    <n v="29.475541468568412"/>
    <s v="Low"/>
    <x v="0"/>
    <n v="2026"/>
  </r>
  <r>
    <s v="ORD0362"/>
    <d v="2026-06-09T00:00:00"/>
    <x v="1"/>
    <x v="0"/>
    <x v="4"/>
    <x v="2"/>
    <n v="38034"/>
    <x v="361"/>
    <n v="129354.19"/>
    <x v="361"/>
    <x v="3"/>
    <n v="31.979707630015248"/>
    <s v="Medium"/>
    <x v="0"/>
    <n v="2026"/>
  </r>
  <r>
    <s v="ORD0363"/>
    <d v="2026-06-10T00:00:00"/>
    <x v="0"/>
    <x v="0"/>
    <x v="4"/>
    <x v="9"/>
    <n v="46468"/>
    <x v="362"/>
    <n v="119862.85"/>
    <x v="362"/>
    <x v="2"/>
    <n v="14.017639379070904"/>
    <s v="Medium"/>
    <x v="0"/>
    <n v="2026"/>
  </r>
  <r>
    <s v="ORD0364"/>
    <d v="2026-06-11T00:00:00"/>
    <x v="3"/>
    <x v="2"/>
    <x v="1"/>
    <x v="5"/>
    <n v="32577"/>
    <x v="363"/>
    <n v="146549.6"/>
    <x v="363"/>
    <x v="3"/>
    <n v="35.734852371743422"/>
    <s v="High"/>
    <x v="0"/>
    <n v="2026"/>
  </r>
  <r>
    <s v="ORD0365"/>
    <d v="2026-06-12T00:00:00"/>
    <x v="3"/>
    <x v="4"/>
    <x v="0"/>
    <x v="8"/>
    <n v="26901"/>
    <x v="364"/>
    <n v="40603.51"/>
    <x v="364"/>
    <x v="3"/>
    <n v="24.531597338388909"/>
    <s v="Low"/>
    <x v="0"/>
    <n v="2026"/>
  </r>
  <r>
    <s v="ORD0366"/>
    <d v="2026-06-13T00:00:00"/>
    <x v="1"/>
    <x v="7"/>
    <x v="4"/>
    <x v="4"/>
    <n v="662"/>
    <x v="365"/>
    <n v="5697.65"/>
    <x v="365"/>
    <x v="2"/>
    <n v="13.932779456193353"/>
    <s v="Low"/>
    <x v="0"/>
    <n v="2026"/>
  </r>
  <r>
    <s v="ORD0367"/>
    <d v="2026-06-14T00:00:00"/>
    <x v="0"/>
    <x v="7"/>
    <x v="3"/>
    <x v="5"/>
    <n v="14775"/>
    <x v="366"/>
    <n v="92093.61"/>
    <x v="366"/>
    <x v="2"/>
    <n v="10.956142131979695"/>
    <s v="Medium"/>
    <x v="0"/>
    <n v="2026"/>
  </r>
  <r>
    <s v="ORD0368"/>
    <d v="2026-06-15T00:00:00"/>
    <x v="2"/>
    <x v="4"/>
    <x v="4"/>
    <x v="6"/>
    <n v="36368"/>
    <x v="367"/>
    <n v="168757.72"/>
    <x v="367"/>
    <x v="0"/>
    <n v="22.661992227599352"/>
    <s v="High"/>
    <x v="0"/>
    <n v="2026"/>
  </r>
  <r>
    <s v="ORD0369"/>
    <d v="2026-06-16T00:00:00"/>
    <x v="0"/>
    <x v="7"/>
    <x v="0"/>
    <x v="7"/>
    <n v="1567"/>
    <x v="368"/>
    <n v="7988.83"/>
    <x v="368"/>
    <x v="3"/>
    <n v="36.27289406509253"/>
    <s v="Low"/>
    <x v="0"/>
    <n v="2026"/>
  </r>
  <r>
    <s v="ORD0370"/>
    <d v="2026-06-17T00:00:00"/>
    <x v="3"/>
    <x v="0"/>
    <x v="5"/>
    <x v="3"/>
    <n v="45627"/>
    <x v="369"/>
    <n v="159297.03"/>
    <x v="369"/>
    <x v="2"/>
    <n v="12.717782234203433"/>
    <s v="Medium"/>
    <x v="0"/>
    <n v="2026"/>
  </r>
  <r>
    <s v="ORD0371"/>
    <d v="2026-06-18T00:00:00"/>
    <x v="0"/>
    <x v="1"/>
    <x v="1"/>
    <x v="6"/>
    <n v="16909"/>
    <x v="370"/>
    <n v="63380.97"/>
    <x v="370"/>
    <x v="3"/>
    <n v="37.527381867644451"/>
    <s v="Medium"/>
    <x v="0"/>
    <n v="2026"/>
  </r>
  <r>
    <s v="ORD0372"/>
    <d v="2026-06-19T00:00:00"/>
    <x v="1"/>
    <x v="1"/>
    <x v="4"/>
    <x v="3"/>
    <n v="28630"/>
    <x v="371"/>
    <n v="91231.85"/>
    <x v="371"/>
    <x v="1"/>
    <n v="20.335443590639191"/>
    <s v="Medium"/>
    <x v="0"/>
    <n v="2026"/>
  </r>
  <r>
    <s v="ORD0373"/>
    <d v="2026-06-20T00:00:00"/>
    <x v="2"/>
    <x v="1"/>
    <x v="0"/>
    <x v="9"/>
    <n v="39407"/>
    <x v="372"/>
    <n v="78954.75"/>
    <x v="372"/>
    <x v="0"/>
    <n v="33.214276651356357"/>
    <s v="Medium"/>
    <x v="0"/>
    <n v="2026"/>
  </r>
  <r>
    <s v="ORD0374"/>
    <d v="2026-06-21T00:00:00"/>
    <x v="2"/>
    <x v="3"/>
    <x v="4"/>
    <x v="8"/>
    <n v="28176"/>
    <x v="373"/>
    <n v="45544.21"/>
    <x v="373"/>
    <x v="1"/>
    <n v="19.179070840431574"/>
    <s v="Low"/>
    <x v="0"/>
    <n v="2026"/>
  </r>
  <r>
    <s v="ORD0375"/>
    <d v="2026-06-22T00:00:00"/>
    <x v="3"/>
    <x v="0"/>
    <x v="0"/>
    <x v="8"/>
    <n v="7263"/>
    <x v="374"/>
    <n v="10081.120000000001"/>
    <x v="374"/>
    <x v="3"/>
    <n v="30.599476800220295"/>
    <s v="Low"/>
    <x v="0"/>
    <n v="2026"/>
  </r>
  <r>
    <s v="ORD0376"/>
    <d v="2026-06-23T00:00:00"/>
    <x v="1"/>
    <x v="0"/>
    <x v="1"/>
    <x v="9"/>
    <n v="4983"/>
    <x v="375"/>
    <n v="11348.57"/>
    <x v="375"/>
    <x v="3"/>
    <n v="24.084754833099204"/>
    <s v="Low"/>
    <x v="0"/>
    <n v="2026"/>
  </r>
  <r>
    <s v="ORD0377"/>
    <d v="2026-06-24T00:00:00"/>
    <x v="2"/>
    <x v="7"/>
    <x v="1"/>
    <x v="3"/>
    <n v="41661"/>
    <x v="376"/>
    <n v="137394.75"/>
    <x v="376"/>
    <x v="1"/>
    <n v="17.551937063440629"/>
    <s v="Medium"/>
    <x v="0"/>
    <n v="2026"/>
  </r>
  <r>
    <s v="ORD0378"/>
    <d v="2026-06-25T00:00:00"/>
    <x v="2"/>
    <x v="4"/>
    <x v="0"/>
    <x v="9"/>
    <n v="49812"/>
    <x v="377"/>
    <n v="95182.84"/>
    <x v="377"/>
    <x v="3"/>
    <n v="36.305281190610032"/>
    <s v="Medium"/>
    <x v="0"/>
    <n v="2026"/>
  </r>
  <r>
    <s v="ORD0379"/>
    <d v="2026-06-26T00:00:00"/>
    <x v="0"/>
    <x v="5"/>
    <x v="2"/>
    <x v="3"/>
    <n v="18651"/>
    <x v="378"/>
    <n v="59189.78"/>
    <x v="378"/>
    <x v="0"/>
    <n v="20.66138544850142"/>
    <s v="Low"/>
    <x v="0"/>
    <n v="2026"/>
  </r>
  <r>
    <s v="ORD0380"/>
    <d v="2026-06-27T00:00:00"/>
    <x v="0"/>
    <x v="2"/>
    <x v="4"/>
    <x v="3"/>
    <n v="34431"/>
    <x v="379"/>
    <n v="107710.92"/>
    <x v="379"/>
    <x v="2"/>
    <n v="21.792193081815807"/>
    <s v="Medium"/>
    <x v="0"/>
    <n v="2026"/>
  </r>
  <r>
    <s v="ORD0381"/>
    <d v="2026-06-28T00:00:00"/>
    <x v="0"/>
    <x v="7"/>
    <x v="0"/>
    <x v="3"/>
    <n v="32932"/>
    <x v="380"/>
    <n v="94286.38"/>
    <x v="380"/>
    <x v="0"/>
    <n v="28.423433134944737"/>
    <s v="Medium"/>
    <x v="0"/>
    <n v="2026"/>
  </r>
  <r>
    <s v="ORD0382"/>
    <d v="2026-06-29T00:00:00"/>
    <x v="2"/>
    <x v="4"/>
    <x v="0"/>
    <x v="6"/>
    <n v="21240"/>
    <x v="381"/>
    <n v="81509.97"/>
    <x v="381"/>
    <x v="1"/>
    <n v="36.040513182674196"/>
    <s v="Medium"/>
    <x v="0"/>
    <n v="2026"/>
  </r>
  <r>
    <s v="ORD0383"/>
    <d v="2026-06-30T00:00:00"/>
    <x v="3"/>
    <x v="6"/>
    <x v="0"/>
    <x v="0"/>
    <n v="38993"/>
    <x v="382"/>
    <n v="24185.79"/>
    <x v="382"/>
    <x v="0"/>
    <n v="37.97402097812428"/>
    <s v="Low"/>
    <x v="0"/>
    <n v="2026"/>
  </r>
  <r>
    <s v="ORD0384"/>
    <d v="2026-07-01T00:00:00"/>
    <x v="2"/>
    <x v="2"/>
    <x v="5"/>
    <x v="1"/>
    <n v="19275"/>
    <x v="383"/>
    <n v="136797.39000000001"/>
    <x v="383"/>
    <x v="3"/>
    <n v="21.142879377431907"/>
    <s v="Medium"/>
    <x v="1"/>
    <n v="2026"/>
  </r>
  <r>
    <s v="ORD0385"/>
    <d v="2026-07-02T00:00:00"/>
    <x v="3"/>
    <x v="3"/>
    <x v="1"/>
    <x v="1"/>
    <n v="35735"/>
    <x v="384"/>
    <n v="252407.99"/>
    <x v="384"/>
    <x v="2"/>
    <n v="21.518588996160005"/>
    <s v="High"/>
    <x v="1"/>
    <n v="2026"/>
  </r>
  <r>
    <s v="ORD0386"/>
    <d v="2026-07-03T00:00:00"/>
    <x v="2"/>
    <x v="3"/>
    <x v="3"/>
    <x v="3"/>
    <n v="10682"/>
    <x v="385"/>
    <n v="32512.46"/>
    <x v="385"/>
    <x v="2"/>
    <n v="23.908303688447859"/>
    <s v="Low"/>
    <x v="1"/>
    <n v="2026"/>
  </r>
  <r>
    <s v="ORD0387"/>
    <d v="2026-07-04T00:00:00"/>
    <x v="2"/>
    <x v="3"/>
    <x v="5"/>
    <x v="3"/>
    <n v="4294"/>
    <x v="386"/>
    <n v="11565.36"/>
    <x v="386"/>
    <x v="3"/>
    <n v="32.665579878900793"/>
    <s v="Low"/>
    <x v="1"/>
    <n v="2026"/>
  </r>
  <r>
    <s v="ORD0388"/>
    <d v="2026-07-05T00:00:00"/>
    <x v="0"/>
    <x v="3"/>
    <x v="3"/>
    <x v="0"/>
    <n v="20769"/>
    <x v="387"/>
    <n v="16611.54"/>
    <x v="387"/>
    <x v="0"/>
    <n v="20.017622418026868"/>
    <s v="Low"/>
    <x v="1"/>
    <n v="2026"/>
  </r>
  <r>
    <s v="ORD0389"/>
    <d v="2026-07-06T00:00:00"/>
    <x v="3"/>
    <x v="5"/>
    <x v="1"/>
    <x v="0"/>
    <n v="11236"/>
    <x v="388"/>
    <n v="8414.91"/>
    <x v="388"/>
    <x v="1"/>
    <n v="25.107600569597722"/>
    <s v="Low"/>
    <x v="1"/>
    <n v="2026"/>
  </r>
  <r>
    <s v="ORD0390"/>
    <d v="2026-07-07T00:00:00"/>
    <x v="1"/>
    <x v="4"/>
    <x v="2"/>
    <x v="2"/>
    <n v="48533"/>
    <x v="389"/>
    <n v="210129.55"/>
    <x v="389"/>
    <x v="3"/>
    <n v="13.407557744215277"/>
    <s v="High"/>
    <x v="1"/>
    <n v="2026"/>
  </r>
  <r>
    <s v="ORD0391"/>
    <d v="2026-07-08T00:00:00"/>
    <x v="1"/>
    <x v="7"/>
    <x v="3"/>
    <x v="8"/>
    <n v="17732"/>
    <x v="390"/>
    <n v="28856.95"/>
    <x v="390"/>
    <x v="3"/>
    <n v="18.63030115046244"/>
    <s v="Low"/>
    <x v="1"/>
    <n v="2026"/>
  </r>
  <r>
    <s v="ORD0392"/>
    <d v="2026-07-09T00:00:00"/>
    <x v="0"/>
    <x v="4"/>
    <x v="4"/>
    <x v="0"/>
    <n v="33242"/>
    <x v="391"/>
    <n v="28515.25"/>
    <x v="391"/>
    <x v="1"/>
    <n v="14.21921063714578"/>
    <s v="Low"/>
    <x v="1"/>
    <n v="2026"/>
  </r>
  <r>
    <s v="ORD0393"/>
    <d v="2026-07-10T00:00:00"/>
    <x v="0"/>
    <x v="1"/>
    <x v="0"/>
    <x v="4"/>
    <n v="44679"/>
    <x v="392"/>
    <n v="364953.04"/>
    <x v="392"/>
    <x v="0"/>
    <n v="18.316649880256946"/>
    <s v="High"/>
    <x v="1"/>
    <n v="2026"/>
  </r>
  <r>
    <s v="ORD0394"/>
    <d v="2026-07-11T00:00:00"/>
    <x v="0"/>
    <x v="0"/>
    <x v="2"/>
    <x v="0"/>
    <n v="31417"/>
    <x v="393"/>
    <n v="22280.71"/>
    <x v="393"/>
    <x v="0"/>
    <n v="29.080720628958844"/>
    <s v="Low"/>
    <x v="1"/>
    <n v="2026"/>
  </r>
  <r>
    <s v="ORD0395"/>
    <d v="2026-07-12T00:00:00"/>
    <x v="2"/>
    <x v="4"/>
    <x v="1"/>
    <x v="5"/>
    <n v="15213"/>
    <x v="394"/>
    <n v="74175.31"/>
    <x v="394"/>
    <x v="2"/>
    <n v="30.345935337258545"/>
    <s v="Medium"/>
    <x v="1"/>
    <n v="2026"/>
  </r>
  <r>
    <s v="ORD0396"/>
    <d v="2026-07-13T00:00:00"/>
    <x v="1"/>
    <x v="0"/>
    <x v="3"/>
    <x v="6"/>
    <n v="8325"/>
    <x v="395"/>
    <n v="37493.08"/>
    <x v="395"/>
    <x v="1"/>
    <n v="24.938778778778779"/>
    <s v="Low"/>
    <x v="1"/>
    <n v="2026"/>
  </r>
  <r>
    <s v="ORD0397"/>
    <d v="2026-07-14T00:00:00"/>
    <x v="3"/>
    <x v="5"/>
    <x v="0"/>
    <x v="5"/>
    <n v="5017"/>
    <x v="396"/>
    <n v="30311.119999999999"/>
    <x v="396"/>
    <x v="2"/>
    <n v="13.690253139326291"/>
    <s v="Low"/>
    <x v="1"/>
    <n v="2026"/>
  </r>
  <r>
    <s v="ORD0398"/>
    <d v="2026-07-15T00:00:00"/>
    <x v="3"/>
    <x v="5"/>
    <x v="3"/>
    <x v="7"/>
    <n v="1022"/>
    <x v="397"/>
    <n v="5810.49"/>
    <x v="397"/>
    <x v="1"/>
    <n v="28.93236301369863"/>
    <s v="Low"/>
    <x v="1"/>
    <n v="2026"/>
  </r>
  <r>
    <s v="ORD0399"/>
    <d v="2026-07-16T00:00:00"/>
    <x v="0"/>
    <x v="6"/>
    <x v="4"/>
    <x v="4"/>
    <n v="32832"/>
    <x v="398"/>
    <n v="295270.03999999998"/>
    <x v="398"/>
    <x v="1"/>
    <n v="10.066386452241716"/>
    <s v="High"/>
    <x v="1"/>
    <n v="2026"/>
  </r>
  <r>
    <s v="ORD0400"/>
    <d v="2026-07-17T00:00:00"/>
    <x v="1"/>
    <x v="4"/>
    <x v="5"/>
    <x v="0"/>
    <n v="15769"/>
    <x v="399"/>
    <n v="12023.29"/>
    <x v="399"/>
    <x v="0"/>
    <n v="23.753630540934743"/>
    <s v="Low"/>
    <x v="1"/>
    <n v="2026"/>
  </r>
  <r>
    <s v="ORD0401"/>
    <d v="2026-07-18T00:00:00"/>
    <x v="0"/>
    <x v="2"/>
    <x v="5"/>
    <x v="2"/>
    <n v="7312"/>
    <x v="400"/>
    <n v="24186.57"/>
    <x v="400"/>
    <x v="3"/>
    <n v="33.844173960612693"/>
    <s v="Low"/>
    <x v="1"/>
    <n v="2026"/>
  </r>
  <r>
    <s v="ORD0402"/>
    <d v="2026-07-19T00:00:00"/>
    <x v="0"/>
    <x v="2"/>
    <x v="2"/>
    <x v="2"/>
    <n v="6596"/>
    <x v="401"/>
    <n v="20222.349999999999"/>
    <x v="401"/>
    <x v="2"/>
    <n v="38.682989690721648"/>
    <s v="Low"/>
    <x v="1"/>
    <n v="2026"/>
  </r>
  <r>
    <s v="ORD0403"/>
    <d v="2026-07-20T00:00:00"/>
    <x v="0"/>
    <x v="2"/>
    <x v="1"/>
    <x v="8"/>
    <n v="38561"/>
    <x v="402"/>
    <n v="48484.53"/>
    <x v="402"/>
    <x v="0"/>
    <n v="37.132685874328985"/>
    <s v="Low"/>
    <x v="1"/>
    <n v="2026"/>
  </r>
  <r>
    <s v="ORD0404"/>
    <d v="2026-07-21T00:00:00"/>
    <x v="0"/>
    <x v="6"/>
    <x v="3"/>
    <x v="0"/>
    <n v="29007"/>
    <x v="403"/>
    <n v="23168.85"/>
    <x v="403"/>
    <x v="2"/>
    <n v="20.126693556727684"/>
    <s v="Low"/>
    <x v="1"/>
    <n v="2026"/>
  </r>
  <r>
    <s v="ORD0405"/>
    <d v="2026-07-22T00:00:00"/>
    <x v="3"/>
    <x v="4"/>
    <x v="4"/>
    <x v="5"/>
    <n v="46422"/>
    <x v="404"/>
    <n v="276071.15000000002"/>
    <x v="404"/>
    <x v="3"/>
    <n v="15.043006087015392"/>
    <s v="High"/>
    <x v="1"/>
    <n v="2026"/>
  </r>
  <r>
    <s v="ORD0406"/>
    <d v="2026-07-23T00:00:00"/>
    <x v="1"/>
    <x v="0"/>
    <x v="2"/>
    <x v="8"/>
    <n v="13784"/>
    <x v="405"/>
    <n v="17666.5"/>
    <x v="405"/>
    <x v="0"/>
    <n v="35.916642484039471"/>
    <s v="Low"/>
    <x v="1"/>
    <n v="2026"/>
  </r>
  <r>
    <s v="ORD0407"/>
    <d v="2026-07-24T00:00:00"/>
    <x v="3"/>
    <x v="6"/>
    <x v="5"/>
    <x v="7"/>
    <n v="21080"/>
    <x v="406"/>
    <n v="121750.28"/>
    <x v="406"/>
    <x v="3"/>
    <n v="27.804625237191651"/>
    <s v="Medium"/>
    <x v="1"/>
    <n v="2026"/>
  </r>
  <r>
    <s v="ORD0408"/>
    <d v="2026-07-25T00:00:00"/>
    <x v="3"/>
    <x v="1"/>
    <x v="5"/>
    <x v="2"/>
    <n v="8358"/>
    <x v="407"/>
    <n v="26207.61"/>
    <x v="407"/>
    <x v="1"/>
    <n v="37.287365398420675"/>
    <s v="Low"/>
    <x v="1"/>
    <n v="2026"/>
  </r>
  <r>
    <s v="ORD0409"/>
    <d v="2026-07-26T00:00:00"/>
    <x v="3"/>
    <x v="2"/>
    <x v="2"/>
    <x v="8"/>
    <n v="47106"/>
    <x v="408"/>
    <n v="63542.76"/>
    <x v="408"/>
    <x v="0"/>
    <n v="32.553432683734556"/>
    <s v="Low"/>
    <x v="1"/>
    <n v="2026"/>
  </r>
  <r>
    <s v="ORD0410"/>
    <d v="2026-07-27T00:00:00"/>
    <x v="2"/>
    <x v="7"/>
    <x v="4"/>
    <x v="2"/>
    <n v="11894"/>
    <x v="409"/>
    <n v="36236.54"/>
    <x v="409"/>
    <x v="1"/>
    <n v="39.067529846981671"/>
    <s v="Low"/>
    <x v="1"/>
    <n v="2026"/>
  </r>
  <r>
    <s v="ORD0411"/>
    <d v="2026-07-28T00:00:00"/>
    <x v="1"/>
    <x v="6"/>
    <x v="5"/>
    <x v="8"/>
    <n v="9661"/>
    <x v="410"/>
    <n v="12297.22"/>
    <x v="410"/>
    <x v="1"/>
    <n v="36.356381326984781"/>
    <s v="Low"/>
    <x v="1"/>
    <n v="2026"/>
  </r>
  <r>
    <s v="ORD0412"/>
    <d v="2026-07-29T00:00:00"/>
    <x v="1"/>
    <x v="5"/>
    <x v="5"/>
    <x v="6"/>
    <n v="45476"/>
    <x v="411"/>
    <n v="215307.74"/>
    <x v="411"/>
    <x v="0"/>
    <n v="21.09107367988976"/>
    <s v="High"/>
    <x v="1"/>
    <n v="2026"/>
  </r>
  <r>
    <s v="ORD0413"/>
    <d v="2026-07-30T00:00:00"/>
    <x v="0"/>
    <x v="3"/>
    <x v="0"/>
    <x v="3"/>
    <n v="42835"/>
    <x v="412"/>
    <n v="125597.26"/>
    <x v="412"/>
    <x v="2"/>
    <n v="26.697058480214775"/>
    <s v="Medium"/>
    <x v="1"/>
    <n v="2026"/>
  </r>
  <r>
    <s v="ORD0414"/>
    <d v="2026-07-31T00:00:00"/>
    <x v="2"/>
    <x v="2"/>
    <x v="0"/>
    <x v="7"/>
    <n v="3818"/>
    <x v="413"/>
    <n v="19865.72"/>
    <x v="413"/>
    <x v="3"/>
    <n v="34.960319539025669"/>
    <s v="Low"/>
    <x v="1"/>
    <n v="2026"/>
  </r>
  <r>
    <s v="ORD0415"/>
    <d v="2026-08-01T00:00:00"/>
    <x v="0"/>
    <x v="5"/>
    <x v="5"/>
    <x v="5"/>
    <n v="11825"/>
    <x v="414"/>
    <n v="58454.3"/>
    <x v="414"/>
    <x v="2"/>
    <n v="29.381697372395049"/>
    <s v="Low"/>
    <x v="2"/>
    <n v="2026"/>
  </r>
  <r>
    <s v="ORD0416"/>
    <d v="2026-08-02T00:00:00"/>
    <x v="0"/>
    <x v="5"/>
    <x v="2"/>
    <x v="0"/>
    <n v="40746"/>
    <x v="415"/>
    <n v="32016.29"/>
    <x v="415"/>
    <x v="3"/>
    <n v="21.424704265449368"/>
    <s v="Low"/>
    <x v="2"/>
    <n v="2026"/>
  </r>
  <r>
    <s v="ORD0417"/>
    <d v="2026-08-03T00:00:00"/>
    <x v="2"/>
    <x v="0"/>
    <x v="3"/>
    <x v="7"/>
    <n v="4496"/>
    <x v="416"/>
    <n v="22527.35"/>
    <x v="416"/>
    <x v="3"/>
    <n v="37.368355204626333"/>
    <s v="Low"/>
    <x v="2"/>
    <n v="2026"/>
  </r>
  <r>
    <s v="ORD0418"/>
    <d v="2026-08-04T00:00:00"/>
    <x v="1"/>
    <x v="2"/>
    <x v="1"/>
    <x v="1"/>
    <n v="16828"/>
    <x v="417"/>
    <n v="119529.9"/>
    <x v="417"/>
    <x v="2"/>
    <n v="21.07737104825291"/>
    <s v="Medium"/>
    <x v="2"/>
    <n v="2026"/>
  </r>
  <r>
    <s v="ORD0419"/>
    <d v="2026-08-05T00:00:00"/>
    <x v="3"/>
    <x v="2"/>
    <x v="3"/>
    <x v="7"/>
    <n v="23046"/>
    <x v="418"/>
    <n v="161101.32999999999"/>
    <x v="418"/>
    <x v="2"/>
    <n v="12.619689967890304"/>
    <s v="Medium"/>
    <x v="2"/>
    <n v="2026"/>
  </r>
  <r>
    <s v="ORD0420"/>
    <d v="2026-08-06T00:00:00"/>
    <x v="3"/>
    <x v="1"/>
    <x v="0"/>
    <x v="6"/>
    <n v="39632"/>
    <x v="419"/>
    <n v="158299.57"/>
    <x v="419"/>
    <x v="3"/>
    <n v="33.429396279101056"/>
    <s v="High"/>
    <x v="2"/>
    <n v="2026"/>
  </r>
  <r>
    <s v="ORD0421"/>
    <d v="2026-08-07T00:00:00"/>
    <x v="1"/>
    <x v="6"/>
    <x v="4"/>
    <x v="4"/>
    <n v="15754"/>
    <x v="420"/>
    <n v="140556.24"/>
    <x v="420"/>
    <x v="1"/>
    <n v="10.780601751936016"/>
    <s v="Medium"/>
    <x v="2"/>
    <n v="2026"/>
  </r>
  <r>
    <s v="ORD0422"/>
    <d v="2026-08-08T00:00:00"/>
    <x v="2"/>
    <x v="4"/>
    <x v="3"/>
    <x v="0"/>
    <n v="14879"/>
    <x v="421"/>
    <n v="11497.12"/>
    <x v="421"/>
    <x v="1"/>
    <n v="22.729215673096313"/>
    <s v="Low"/>
    <x v="2"/>
    <n v="2026"/>
  </r>
  <r>
    <s v="ORD0423"/>
    <d v="2026-08-09T00:00:00"/>
    <x v="3"/>
    <x v="1"/>
    <x v="2"/>
    <x v="4"/>
    <n v="21340"/>
    <x v="422"/>
    <n v="179653.58"/>
    <x v="422"/>
    <x v="2"/>
    <n v="15.81369259606373"/>
    <s v="High"/>
    <x v="2"/>
    <n v="2026"/>
  </r>
  <r>
    <s v="ORD0424"/>
    <d v="2026-08-10T00:00:00"/>
    <x v="2"/>
    <x v="5"/>
    <x v="3"/>
    <x v="9"/>
    <n v="37403"/>
    <x v="423"/>
    <n v="99250.04"/>
    <x v="423"/>
    <x v="1"/>
    <n v="11.548948836546087"/>
    <s v="Medium"/>
    <x v="2"/>
    <n v="2026"/>
  </r>
  <r>
    <s v="ORD0425"/>
    <d v="2026-08-11T00:00:00"/>
    <x v="0"/>
    <x v="1"/>
    <x v="0"/>
    <x v="8"/>
    <n v="4181"/>
    <x v="424"/>
    <n v="5600.76"/>
    <x v="424"/>
    <x v="3"/>
    <n v="33.021286773499156"/>
    <s v="Low"/>
    <x v="2"/>
    <n v="2026"/>
  </r>
  <r>
    <s v="ORD0426"/>
    <d v="2026-08-12T00:00:00"/>
    <x v="3"/>
    <x v="0"/>
    <x v="4"/>
    <x v="4"/>
    <n v="13703"/>
    <x v="425"/>
    <n v="115370.16"/>
    <x v="425"/>
    <x v="2"/>
    <n v="15.806640881558783"/>
    <s v="Medium"/>
    <x v="2"/>
    <n v="2026"/>
  </r>
  <r>
    <s v="ORD0427"/>
    <d v="2026-08-13T00:00:00"/>
    <x v="0"/>
    <x v="3"/>
    <x v="0"/>
    <x v="9"/>
    <n v="38944"/>
    <x v="426"/>
    <n v="94798.52"/>
    <x v="426"/>
    <x v="2"/>
    <n v="18.859113941385921"/>
    <s v="Medium"/>
    <x v="2"/>
    <n v="2026"/>
  </r>
  <r>
    <s v="ORD0428"/>
    <d v="2026-08-14T00:00:00"/>
    <x v="3"/>
    <x v="4"/>
    <x v="4"/>
    <x v="5"/>
    <n v="38905"/>
    <x v="427"/>
    <n v="171655.38"/>
    <x v="427"/>
    <x v="1"/>
    <n v="36.969034461233406"/>
    <s v="High"/>
    <x v="2"/>
    <n v="2026"/>
  </r>
  <r>
    <s v="ORD0429"/>
    <d v="2026-08-15T00:00:00"/>
    <x v="3"/>
    <x v="0"/>
    <x v="1"/>
    <x v="5"/>
    <n v="42394"/>
    <x v="428"/>
    <n v="263580.05"/>
    <x v="428"/>
    <x v="2"/>
    <n v="11.180136677023029"/>
    <s v="High"/>
    <x v="2"/>
    <n v="2026"/>
  </r>
  <r>
    <s v="ORD0430"/>
    <d v="2026-08-16T00:00:00"/>
    <x v="3"/>
    <x v="0"/>
    <x v="1"/>
    <x v="4"/>
    <n v="11991"/>
    <x v="429"/>
    <n v="85557.61"/>
    <x v="429"/>
    <x v="1"/>
    <n v="28.648478025185554"/>
    <s v="Medium"/>
    <x v="2"/>
    <n v="2026"/>
  </r>
  <r>
    <s v="ORD0431"/>
    <d v="2026-08-17T00:00:00"/>
    <x v="1"/>
    <x v="0"/>
    <x v="1"/>
    <x v="4"/>
    <n v="26163"/>
    <x v="430"/>
    <n v="223753.06"/>
    <x v="430"/>
    <x v="2"/>
    <n v="14.477292359438904"/>
    <s v="High"/>
    <x v="2"/>
    <n v="2026"/>
  </r>
  <r>
    <s v="ORD0432"/>
    <d v="2026-08-18T00:00:00"/>
    <x v="0"/>
    <x v="4"/>
    <x v="2"/>
    <x v="4"/>
    <n v="7322"/>
    <x v="431"/>
    <n v="64507.28"/>
    <x v="431"/>
    <x v="0"/>
    <n v="11.899371756350723"/>
    <s v="Low"/>
    <x v="2"/>
    <n v="2026"/>
  </r>
  <r>
    <s v="ORD0433"/>
    <d v="2026-08-19T00:00:00"/>
    <x v="1"/>
    <x v="4"/>
    <x v="4"/>
    <x v="6"/>
    <n v="11502"/>
    <x v="432"/>
    <n v="54578.559999999998"/>
    <x v="432"/>
    <x v="3"/>
    <n v="20.914391699994205"/>
    <s v="Low"/>
    <x v="2"/>
    <n v="2026"/>
  </r>
  <r>
    <s v="ORD0434"/>
    <d v="2026-08-20T00:00:00"/>
    <x v="3"/>
    <x v="5"/>
    <x v="4"/>
    <x v="3"/>
    <n v="16853"/>
    <x v="433"/>
    <n v="54465.72"/>
    <x v="433"/>
    <x v="0"/>
    <n v="19.204711327360116"/>
    <s v="Low"/>
    <x v="2"/>
    <n v="2026"/>
  </r>
  <r>
    <s v="ORD0435"/>
    <d v="2026-08-21T00:00:00"/>
    <x v="0"/>
    <x v="2"/>
    <x v="0"/>
    <x v="5"/>
    <n v="29219"/>
    <x v="434"/>
    <n v="167671.10999999999"/>
    <x v="434"/>
    <x v="3"/>
    <n v="18.022465812362796"/>
    <s v="High"/>
    <x v="2"/>
    <n v="2026"/>
  </r>
  <r>
    <s v="ORD0436"/>
    <d v="2026-08-22T00:00:00"/>
    <x v="2"/>
    <x v="6"/>
    <x v="4"/>
    <x v="1"/>
    <n v="25098"/>
    <x v="435"/>
    <n v="142402.47"/>
    <x v="435"/>
    <x v="1"/>
    <n v="36.957141339283346"/>
    <s v="High"/>
    <x v="2"/>
    <n v="2026"/>
  </r>
  <r>
    <s v="ORD0437"/>
    <d v="2026-08-23T00:00:00"/>
    <x v="3"/>
    <x v="3"/>
    <x v="0"/>
    <x v="0"/>
    <n v="19827"/>
    <x v="436"/>
    <n v="12015.63"/>
    <x v="436"/>
    <x v="0"/>
    <n v="39.397639582387647"/>
    <s v="Low"/>
    <x v="2"/>
    <n v="2026"/>
  </r>
  <r>
    <s v="ORD0438"/>
    <d v="2026-08-24T00:00:00"/>
    <x v="1"/>
    <x v="4"/>
    <x v="2"/>
    <x v="5"/>
    <n v="11045"/>
    <x v="437"/>
    <n v="63367.03"/>
    <x v="437"/>
    <x v="3"/>
    <n v="18.040444933066027"/>
    <s v="Low"/>
    <x v="2"/>
    <n v="2026"/>
  </r>
  <r>
    <s v="ORD0439"/>
    <d v="2026-08-25T00:00:00"/>
    <x v="2"/>
    <x v="0"/>
    <x v="0"/>
    <x v="5"/>
    <n v="43336"/>
    <x v="438"/>
    <n v="197026.87"/>
    <x v="438"/>
    <x v="0"/>
    <n v="35.050083731111052"/>
    <s v="High"/>
    <x v="2"/>
    <n v="2026"/>
  </r>
  <r>
    <s v="ORD0440"/>
    <d v="2026-08-26T00:00:00"/>
    <x v="3"/>
    <x v="5"/>
    <x v="4"/>
    <x v="3"/>
    <n v="12950"/>
    <x v="439"/>
    <n v="37440.21"/>
    <x v="439"/>
    <x v="2"/>
    <n v="27.721602316602318"/>
    <s v="Low"/>
    <x v="2"/>
    <n v="2026"/>
  </r>
  <r>
    <s v="ORD0441"/>
    <d v="2026-08-27T00:00:00"/>
    <x v="2"/>
    <x v="0"/>
    <x v="0"/>
    <x v="0"/>
    <n v="26249"/>
    <x v="440"/>
    <n v="20251.919999999998"/>
    <x v="440"/>
    <x v="0"/>
    <n v="22.846889405310677"/>
    <s v="Low"/>
    <x v="2"/>
    <n v="2026"/>
  </r>
  <r>
    <s v="ORD0442"/>
    <d v="2026-08-28T00:00:00"/>
    <x v="2"/>
    <x v="6"/>
    <x v="0"/>
    <x v="5"/>
    <n v="6242"/>
    <x v="441"/>
    <n v="30077.41"/>
    <x v="441"/>
    <x v="0"/>
    <n v="31.163523595917059"/>
    <s v="Low"/>
    <x v="2"/>
    <n v="2026"/>
  </r>
  <r>
    <s v="ORD0443"/>
    <d v="2026-08-29T00:00:00"/>
    <x v="1"/>
    <x v="7"/>
    <x v="2"/>
    <x v="9"/>
    <n v="42324"/>
    <x v="442"/>
    <n v="87298.77"/>
    <x v="442"/>
    <x v="0"/>
    <n v="31.245652584821855"/>
    <s v="Medium"/>
    <x v="2"/>
    <n v="2026"/>
  </r>
  <r>
    <s v="ORD0444"/>
    <d v="2026-08-30T00:00:00"/>
    <x v="3"/>
    <x v="3"/>
    <x v="5"/>
    <x v="7"/>
    <n v="32553"/>
    <x v="443"/>
    <n v="226168.67"/>
    <x v="443"/>
    <x v="3"/>
    <n v="13.15367631247504"/>
    <s v="High"/>
    <x v="2"/>
    <n v="2026"/>
  </r>
  <r>
    <s v="ORD0445"/>
    <d v="2026-08-31T00:00:00"/>
    <x v="1"/>
    <x v="5"/>
    <x v="4"/>
    <x v="5"/>
    <n v="24709"/>
    <x v="444"/>
    <n v="113459.38"/>
    <x v="444"/>
    <x v="3"/>
    <n v="34.402513832438153"/>
    <s v="Medium"/>
    <x v="2"/>
    <n v="2026"/>
  </r>
  <r>
    <s v="ORD0446"/>
    <d v="2026-09-01T00:00:00"/>
    <x v="0"/>
    <x v="3"/>
    <x v="4"/>
    <x v="3"/>
    <n v="18100"/>
    <x v="445"/>
    <n v="55695.44"/>
    <x v="445"/>
    <x v="0"/>
    <n v="23.072596685082875"/>
    <s v="Low"/>
    <x v="3"/>
    <n v="2026"/>
  </r>
  <r>
    <s v="ORD0447"/>
    <d v="2026-09-02T00:00:00"/>
    <x v="0"/>
    <x v="1"/>
    <x v="4"/>
    <x v="1"/>
    <n v="27631"/>
    <x v="446"/>
    <n v="221625.62"/>
    <x v="446"/>
    <x v="3"/>
    <n v="10.878835768199165"/>
    <s v="High"/>
    <x v="3"/>
    <n v="2026"/>
  </r>
  <r>
    <s v="ORD0448"/>
    <d v="2026-09-03T00:00:00"/>
    <x v="2"/>
    <x v="6"/>
    <x v="5"/>
    <x v="1"/>
    <n v="45527"/>
    <x v="447"/>
    <n v="352406.93"/>
    <x v="447"/>
    <x v="3"/>
    <n v="13.993178651008071"/>
    <s v="High"/>
    <x v="3"/>
    <n v="2026"/>
  </r>
  <r>
    <s v="ORD0449"/>
    <d v="2026-09-04T00:00:00"/>
    <x v="0"/>
    <x v="3"/>
    <x v="0"/>
    <x v="5"/>
    <n v="47312"/>
    <x v="448"/>
    <n v="202160.86"/>
    <x v="448"/>
    <x v="3"/>
    <n v="38.958144113242184"/>
    <s v="High"/>
    <x v="3"/>
    <n v="2026"/>
  </r>
  <r>
    <s v="ORD0450"/>
    <d v="2026-09-05T00:00:00"/>
    <x v="2"/>
    <x v="3"/>
    <x v="2"/>
    <x v="3"/>
    <n v="13130"/>
    <x v="449"/>
    <n v="33500.19"/>
    <x v="449"/>
    <x v="3"/>
    <n v="36.214413556740297"/>
    <s v="Low"/>
    <x v="3"/>
    <n v="2026"/>
  </r>
  <r>
    <s v="ORD0451"/>
    <d v="2026-09-06T00:00:00"/>
    <x v="1"/>
    <x v="3"/>
    <x v="1"/>
    <x v="9"/>
    <n v="39497"/>
    <x v="450"/>
    <n v="80261.759999999995"/>
    <x v="450"/>
    <x v="3"/>
    <n v="32.26341241106919"/>
    <s v="Medium"/>
    <x v="3"/>
    <n v="2026"/>
  </r>
  <r>
    <s v="ORD0452"/>
    <d v="2026-09-07T00:00:00"/>
    <x v="2"/>
    <x v="1"/>
    <x v="5"/>
    <x v="1"/>
    <n v="21873"/>
    <x v="451"/>
    <n v="168703.94"/>
    <x v="451"/>
    <x v="3"/>
    <n v="14.301274529226799"/>
    <s v="Medium"/>
    <x v="3"/>
    <n v="2026"/>
  </r>
  <r>
    <s v="ORD0453"/>
    <d v="2026-09-08T00:00:00"/>
    <x v="1"/>
    <x v="3"/>
    <x v="5"/>
    <x v="9"/>
    <n v="10212"/>
    <x v="452"/>
    <n v="23589.05"/>
    <x v="452"/>
    <x v="0"/>
    <n v="23.002186969578272"/>
    <s v="Low"/>
    <x v="3"/>
    <n v="2026"/>
  </r>
  <r>
    <s v="ORD0454"/>
    <d v="2026-09-09T00:00:00"/>
    <x v="2"/>
    <x v="7"/>
    <x v="3"/>
    <x v="6"/>
    <n v="27428"/>
    <x v="453"/>
    <n v="111781.33"/>
    <x v="453"/>
    <x v="0"/>
    <n v="32.075901754897664"/>
    <s v="Medium"/>
    <x v="3"/>
    <n v="2026"/>
  </r>
  <r>
    <s v="ORD0455"/>
    <d v="2026-09-10T00:00:00"/>
    <x v="2"/>
    <x v="1"/>
    <x v="4"/>
    <x v="5"/>
    <n v="9927"/>
    <x v="454"/>
    <n v="54581.760000000002"/>
    <x v="454"/>
    <x v="3"/>
    <n v="21.452661572335188"/>
    <s v="Low"/>
    <x v="3"/>
    <n v="2026"/>
  </r>
  <r>
    <s v="ORD0456"/>
    <d v="2026-09-11T00:00:00"/>
    <x v="3"/>
    <x v="4"/>
    <x v="1"/>
    <x v="3"/>
    <n v="3730"/>
    <x v="455"/>
    <n v="12289.98"/>
    <x v="455"/>
    <x v="0"/>
    <n v="17.627479892761393"/>
    <s v="Low"/>
    <x v="3"/>
    <n v="2026"/>
  </r>
  <r>
    <s v="ORD0457"/>
    <d v="2026-09-12T00:00:00"/>
    <x v="1"/>
    <x v="6"/>
    <x v="4"/>
    <x v="2"/>
    <n v="18872"/>
    <x v="456"/>
    <n v="80475.3"/>
    <x v="456"/>
    <x v="1"/>
    <n v="14.714603645612549"/>
    <s v="Low"/>
    <x v="3"/>
    <n v="2026"/>
  </r>
  <r>
    <s v="ORD0458"/>
    <d v="2026-09-13T00:00:00"/>
    <x v="2"/>
    <x v="3"/>
    <x v="1"/>
    <x v="7"/>
    <n v="21528"/>
    <x v="457"/>
    <n v="117254.58"/>
    <x v="457"/>
    <x v="1"/>
    <n v="31.917398272017838"/>
    <s v="Medium"/>
    <x v="3"/>
    <n v="2026"/>
  </r>
  <r>
    <s v="ORD0459"/>
    <d v="2026-09-14T00:00:00"/>
    <x v="3"/>
    <x v="1"/>
    <x v="2"/>
    <x v="5"/>
    <n v="49058"/>
    <x v="458"/>
    <n v="255953.58"/>
    <x v="458"/>
    <x v="1"/>
    <n v="25.466188709574091"/>
    <s v="High"/>
    <x v="3"/>
    <n v="2026"/>
  </r>
  <r>
    <s v="ORD0460"/>
    <d v="2026-09-15T00:00:00"/>
    <x v="1"/>
    <x v="0"/>
    <x v="4"/>
    <x v="1"/>
    <n v="26936"/>
    <x v="459"/>
    <n v="155319.82999999999"/>
    <x v="459"/>
    <x v="1"/>
    <n v="35.930506055506058"/>
    <s v="High"/>
    <x v="3"/>
    <n v="2026"/>
  </r>
  <r>
    <s v="ORD0461"/>
    <d v="2026-09-16T00:00:00"/>
    <x v="3"/>
    <x v="6"/>
    <x v="0"/>
    <x v="3"/>
    <n v="2667"/>
    <x v="460"/>
    <n v="7861.62"/>
    <x v="460"/>
    <x v="2"/>
    <n v="26.306524184476942"/>
    <s v="Low"/>
    <x v="3"/>
    <n v="2026"/>
  </r>
  <r>
    <s v="ORD0462"/>
    <d v="2026-09-17T00:00:00"/>
    <x v="1"/>
    <x v="1"/>
    <x v="5"/>
    <x v="1"/>
    <n v="26514"/>
    <x v="461"/>
    <n v="188663.19"/>
    <x v="461"/>
    <x v="1"/>
    <n v="20.937705866083327"/>
    <s v="High"/>
    <x v="3"/>
    <n v="2026"/>
  </r>
  <r>
    <s v="ORD0463"/>
    <d v="2026-09-18T00:00:00"/>
    <x v="2"/>
    <x v="4"/>
    <x v="5"/>
    <x v="4"/>
    <n v="29735"/>
    <x v="462"/>
    <n v="194251.35"/>
    <x v="462"/>
    <x v="2"/>
    <n v="34.672490331259461"/>
    <s v="High"/>
    <x v="3"/>
    <n v="2026"/>
  </r>
  <r>
    <s v="ORD0464"/>
    <d v="2026-09-19T00:00:00"/>
    <x v="1"/>
    <x v="0"/>
    <x v="4"/>
    <x v="8"/>
    <n v="19182"/>
    <x v="463"/>
    <n v="23334.33"/>
    <x v="463"/>
    <x v="1"/>
    <n v="39.176493587738506"/>
    <s v="Low"/>
    <x v="3"/>
    <n v="2026"/>
  </r>
  <r>
    <s v="ORD0465"/>
    <d v="2026-09-20T00:00:00"/>
    <x v="2"/>
    <x v="1"/>
    <x v="1"/>
    <x v="3"/>
    <n v="44913"/>
    <x v="464"/>
    <n v="118933.09"/>
    <x v="464"/>
    <x v="0"/>
    <n v="33.798070714492468"/>
    <s v="Medium"/>
    <x v="3"/>
    <n v="2026"/>
  </r>
  <r>
    <s v="ORD0466"/>
    <d v="2026-09-21T00:00:00"/>
    <x v="0"/>
    <x v="5"/>
    <x v="2"/>
    <x v="9"/>
    <n v="39896"/>
    <x v="465"/>
    <n v="100568.97"/>
    <x v="465"/>
    <x v="2"/>
    <n v="15.974057549629034"/>
    <s v="Medium"/>
    <x v="3"/>
    <n v="2026"/>
  </r>
  <r>
    <s v="ORD0467"/>
    <d v="2026-09-22T00:00:00"/>
    <x v="2"/>
    <x v="5"/>
    <x v="4"/>
    <x v="5"/>
    <n v="25172"/>
    <x v="466"/>
    <n v="150738.26999999999"/>
    <x v="466"/>
    <x v="1"/>
    <n v="14.452413112074641"/>
    <s v="Medium"/>
    <x v="3"/>
    <n v="2026"/>
  </r>
  <r>
    <s v="ORD0468"/>
    <d v="2026-09-23T00:00:00"/>
    <x v="1"/>
    <x v="1"/>
    <x v="4"/>
    <x v="1"/>
    <n v="41368"/>
    <x v="467"/>
    <n v="267746.59999999998"/>
    <x v="467"/>
    <x v="2"/>
    <n v="28.085422978577107"/>
    <s v="High"/>
    <x v="3"/>
    <n v="2026"/>
  </r>
  <r>
    <s v="ORD0469"/>
    <d v="2026-09-24T00:00:00"/>
    <x v="1"/>
    <x v="7"/>
    <x v="1"/>
    <x v="4"/>
    <n v="40414"/>
    <x v="468"/>
    <n v="276756.31"/>
    <x v="468"/>
    <x v="0"/>
    <n v="31.519693670510218"/>
    <s v="High"/>
    <x v="3"/>
    <n v="2026"/>
  </r>
  <r>
    <s v="ORD0470"/>
    <d v="2026-09-25T00:00:00"/>
    <x v="3"/>
    <x v="6"/>
    <x v="4"/>
    <x v="6"/>
    <n v="18645"/>
    <x v="469"/>
    <n v="75886.350000000006"/>
    <x v="469"/>
    <x v="1"/>
    <n v="32.165593993027628"/>
    <s v="Medium"/>
    <x v="3"/>
    <n v="2026"/>
  </r>
  <r>
    <s v="ORD0471"/>
    <d v="2026-09-26T00:00:00"/>
    <x v="3"/>
    <x v="0"/>
    <x v="2"/>
    <x v="0"/>
    <n v="39823"/>
    <x v="470"/>
    <n v="28721.52"/>
    <x v="470"/>
    <x v="0"/>
    <n v="27.877055972679106"/>
    <s v="Low"/>
    <x v="3"/>
    <n v="2026"/>
  </r>
  <r>
    <s v="ORD0472"/>
    <d v="2026-09-27T00:00:00"/>
    <x v="2"/>
    <x v="2"/>
    <x v="5"/>
    <x v="2"/>
    <n v="17501"/>
    <x v="471"/>
    <n v="76310.789999999994"/>
    <x v="471"/>
    <x v="0"/>
    <n v="12.7926518484658"/>
    <s v="Low"/>
    <x v="3"/>
    <n v="2026"/>
  </r>
  <r>
    <s v="ORD0473"/>
    <d v="2026-09-28T00:00:00"/>
    <x v="0"/>
    <x v="7"/>
    <x v="1"/>
    <x v="4"/>
    <n v="12946"/>
    <x v="472"/>
    <n v="91003.92"/>
    <x v="472"/>
    <x v="2"/>
    <n v="29.704989958288273"/>
    <s v="Medium"/>
    <x v="3"/>
    <n v="2026"/>
  </r>
  <r>
    <s v="ORD0474"/>
    <d v="2026-09-29T00:00:00"/>
    <x v="0"/>
    <x v="5"/>
    <x v="4"/>
    <x v="9"/>
    <n v="43597"/>
    <x v="473"/>
    <n v="112865.89"/>
    <x v="473"/>
    <x v="0"/>
    <n v="13.705155553516679"/>
    <s v="Medium"/>
    <x v="3"/>
    <n v="2026"/>
  </r>
  <r>
    <s v="ORD0475"/>
    <d v="2026-09-30T00:00:00"/>
    <x v="0"/>
    <x v="4"/>
    <x v="2"/>
    <x v="2"/>
    <n v="48025"/>
    <x v="474"/>
    <n v="202306.07"/>
    <x v="474"/>
    <x v="0"/>
    <n v="15.749684539302446"/>
    <s v="High"/>
    <x v="3"/>
    <n v="2026"/>
  </r>
  <r>
    <s v="ORD0476"/>
    <d v="2026-10-01T00:00:00"/>
    <x v="2"/>
    <x v="4"/>
    <x v="4"/>
    <x v="3"/>
    <n v="49272"/>
    <x v="475"/>
    <n v="169777.45"/>
    <x v="475"/>
    <x v="2"/>
    <n v="13.857033406397143"/>
    <s v="Medium"/>
    <x v="4"/>
    <n v="2026"/>
  </r>
  <r>
    <s v="ORD0477"/>
    <d v="2026-10-02T00:00:00"/>
    <x v="2"/>
    <x v="1"/>
    <x v="3"/>
    <x v="2"/>
    <n v="30893"/>
    <x v="476"/>
    <n v="132123.82999999999"/>
    <x v="476"/>
    <x v="0"/>
    <n v="14.463580746447413"/>
    <s v="Medium"/>
    <x v="4"/>
    <n v="2026"/>
  </r>
  <r>
    <s v="ORD0478"/>
    <d v="2026-10-03T00:00:00"/>
    <x v="2"/>
    <x v="5"/>
    <x v="2"/>
    <x v="1"/>
    <n v="8352"/>
    <x v="477"/>
    <n v="64663.22"/>
    <x v="477"/>
    <x v="3"/>
    <n v="13.975069178373777"/>
    <s v="Low"/>
    <x v="4"/>
    <n v="2026"/>
  </r>
  <r>
    <s v="ORD0479"/>
    <d v="2026-10-04T00:00:00"/>
    <x v="2"/>
    <x v="0"/>
    <x v="2"/>
    <x v="9"/>
    <n v="13626"/>
    <x v="478"/>
    <n v="28729.1"/>
    <x v="478"/>
    <x v="2"/>
    <n v="29.719898233768777"/>
    <s v="Low"/>
    <x v="4"/>
    <n v="2026"/>
  </r>
  <r>
    <s v="ORD0480"/>
    <d v="2026-10-05T00:00:00"/>
    <x v="0"/>
    <x v="4"/>
    <x v="0"/>
    <x v="7"/>
    <n v="22299"/>
    <x v="479"/>
    <n v="140806.56"/>
    <x v="479"/>
    <x v="0"/>
    <n v="21.069016547827257"/>
    <s v="Medium"/>
    <x v="4"/>
    <n v="2026"/>
  </r>
  <r>
    <s v="ORD0481"/>
    <d v="2026-10-06T00:00:00"/>
    <x v="0"/>
    <x v="0"/>
    <x v="5"/>
    <x v="2"/>
    <n v="14222"/>
    <x v="480"/>
    <n v="58904.54"/>
    <x v="480"/>
    <x v="3"/>
    <n v="17.16419631556743"/>
    <s v="Low"/>
    <x v="4"/>
    <n v="2026"/>
  </r>
  <r>
    <s v="ORD0482"/>
    <d v="2026-10-07T00:00:00"/>
    <x v="2"/>
    <x v="2"/>
    <x v="2"/>
    <x v="4"/>
    <n v="28923"/>
    <x v="481"/>
    <n v="228505.08"/>
    <x v="481"/>
    <x v="3"/>
    <n v="20.995373923866818"/>
    <s v="High"/>
    <x v="4"/>
    <n v="2026"/>
  </r>
  <r>
    <s v="ORD0483"/>
    <d v="2026-10-08T00:00:00"/>
    <x v="3"/>
    <x v="1"/>
    <x v="0"/>
    <x v="0"/>
    <n v="35481"/>
    <x v="482"/>
    <n v="23411.23"/>
    <x v="482"/>
    <x v="2"/>
    <n v="34.01755869338519"/>
    <s v="Low"/>
    <x v="4"/>
    <n v="2026"/>
  </r>
  <r>
    <s v="ORD0484"/>
    <d v="2026-10-09T00:00:00"/>
    <x v="0"/>
    <x v="6"/>
    <x v="2"/>
    <x v="0"/>
    <n v="44851"/>
    <x v="483"/>
    <n v="26966.09"/>
    <x v="483"/>
    <x v="2"/>
    <n v="39.876279235691513"/>
    <s v="Low"/>
    <x v="4"/>
    <n v="2026"/>
  </r>
  <r>
    <s v="ORD0485"/>
    <d v="2026-10-10T00:00:00"/>
    <x v="3"/>
    <x v="0"/>
    <x v="2"/>
    <x v="8"/>
    <n v="25636"/>
    <x v="484"/>
    <n v="38505.32"/>
    <x v="484"/>
    <x v="0"/>
    <n v="24.899906381650805"/>
    <s v="Low"/>
    <x v="4"/>
    <n v="2026"/>
  </r>
  <r>
    <s v="ORD0486"/>
    <d v="2026-10-11T00:00:00"/>
    <x v="3"/>
    <x v="2"/>
    <x v="4"/>
    <x v="2"/>
    <n v="30379"/>
    <x v="485"/>
    <n v="124303.21"/>
    <x v="485"/>
    <x v="1"/>
    <n v="18.165041640607001"/>
    <s v="Medium"/>
    <x v="4"/>
    <n v="2026"/>
  </r>
  <r>
    <s v="ORD0487"/>
    <d v="2026-10-12T00:00:00"/>
    <x v="2"/>
    <x v="1"/>
    <x v="5"/>
    <x v="6"/>
    <n v="49659"/>
    <x v="486"/>
    <n v="195615.09"/>
    <x v="486"/>
    <x v="1"/>
    <n v="34.347218026943757"/>
    <s v="High"/>
    <x v="4"/>
    <n v="2026"/>
  </r>
  <r>
    <s v="ORD0488"/>
    <d v="2026-10-13T00:00:00"/>
    <x v="0"/>
    <x v="3"/>
    <x v="1"/>
    <x v="9"/>
    <n v="14340"/>
    <x v="487"/>
    <n v="35285.99"/>
    <x v="487"/>
    <x v="2"/>
    <n v="17.977708042770804"/>
    <s v="Low"/>
    <x v="4"/>
    <n v="2026"/>
  </r>
  <r>
    <s v="ORD0489"/>
    <d v="2026-10-14T00:00:00"/>
    <x v="1"/>
    <x v="1"/>
    <x v="0"/>
    <x v="5"/>
    <n v="42464"/>
    <x v="488"/>
    <n v="201158.65"/>
    <x v="488"/>
    <x v="0"/>
    <n v="32.326323474001512"/>
    <s v="High"/>
    <x v="4"/>
    <n v="2026"/>
  </r>
  <r>
    <s v="ORD0490"/>
    <d v="2026-10-15T00:00:00"/>
    <x v="2"/>
    <x v="2"/>
    <x v="0"/>
    <x v="0"/>
    <n v="45703"/>
    <x v="489"/>
    <n v="29009.38"/>
    <x v="489"/>
    <x v="0"/>
    <n v="36.526311183073318"/>
    <s v="Low"/>
    <x v="4"/>
    <n v="2026"/>
  </r>
  <r>
    <s v="ORD0491"/>
    <d v="2026-10-16T00:00:00"/>
    <x v="1"/>
    <x v="5"/>
    <x v="4"/>
    <x v="7"/>
    <n v="46497"/>
    <x v="490"/>
    <n v="240273.48"/>
    <x v="490"/>
    <x v="3"/>
    <n v="35.40618749596748"/>
    <s v="High"/>
    <x v="4"/>
    <n v="2026"/>
  </r>
  <r>
    <s v="ORD0492"/>
    <d v="2026-10-17T00:00:00"/>
    <x v="0"/>
    <x v="2"/>
    <x v="0"/>
    <x v="1"/>
    <n v="18193"/>
    <x v="491"/>
    <n v="128834.71"/>
    <x v="491"/>
    <x v="0"/>
    <n v="21.316067840500317"/>
    <s v="Medium"/>
    <x v="4"/>
    <n v="2026"/>
  </r>
  <r>
    <s v="ORD0493"/>
    <d v="2026-10-18T00:00:00"/>
    <x v="1"/>
    <x v="7"/>
    <x v="1"/>
    <x v="4"/>
    <n v="8215"/>
    <x v="492"/>
    <n v="56257.31"/>
    <x v="492"/>
    <x v="1"/>
    <n v="31.518794887401093"/>
    <s v="Low"/>
    <x v="4"/>
    <n v="2026"/>
  </r>
  <r>
    <s v="ORD0494"/>
    <d v="2026-10-19T00:00:00"/>
    <x v="3"/>
    <x v="2"/>
    <x v="2"/>
    <x v="2"/>
    <n v="34784"/>
    <x v="493"/>
    <n v="155125.49"/>
    <x v="493"/>
    <x v="2"/>
    <n v="10.806410993560258"/>
    <s v="Medium"/>
    <x v="4"/>
    <n v="2026"/>
  </r>
  <r>
    <s v="ORD0495"/>
    <d v="2026-10-20T00:00:00"/>
    <x v="2"/>
    <x v="4"/>
    <x v="0"/>
    <x v="1"/>
    <n v="33029"/>
    <x v="494"/>
    <n v="259540.66"/>
    <x v="494"/>
    <x v="1"/>
    <n v="12.689299975442456"/>
    <s v="High"/>
    <x v="4"/>
    <n v="2026"/>
  </r>
  <r>
    <s v="ORD0496"/>
    <d v="2026-10-21T00:00:00"/>
    <x v="2"/>
    <x v="0"/>
    <x v="0"/>
    <x v="8"/>
    <n v="7737"/>
    <x v="495"/>
    <n v="13161.71"/>
    <x v="495"/>
    <x v="0"/>
    <n v="14.943065787773039"/>
    <s v="Low"/>
    <x v="4"/>
    <n v="2026"/>
  </r>
  <r>
    <s v="ORD0497"/>
    <d v="2026-10-22T00:00:00"/>
    <x v="2"/>
    <x v="5"/>
    <x v="0"/>
    <x v="8"/>
    <n v="17270"/>
    <x v="496"/>
    <n v="27400.62"/>
    <x v="496"/>
    <x v="2"/>
    <n v="20.669889982628835"/>
    <s v="Low"/>
    <x v="4"/>
    <n v="2026"/>
  </r>
  <r>
    <s v="ORD0498"/>
    <d v="2026-10-23T00:00:00"/>
    <x v="3"/>
    <x v="4"/>
    <x v="0"/>
    <x v="8"/>
    <n v="11949"/>
    <x v="497"/>
    <n v="20605.86"/>
    <x v="497"/>
    <x v="2"/>
    <n v="13.775797137835802"/>
    <s v="Low"/>
    <x v="4"/>
    <n v="2026"/>
  </r>
  <r>
    <s v="ORD0499"/>
    <d v="2026-10-24T00:00:00"/>
    <x v="1"/>
    <x v="1"/>
    <x v="1"/>
    <x v="8"/>
    <n v="6725"/>
    <x v="498"/>
    <n v="11504.78"/>
    <x v="498"/>
    <x v="1"/>
    <n v="14.46260223048327"/>
    <s v="Low"/>
    <x v="4"/>
    <n v="2026"/>
  </r>
  <r>
    <s v="ORD0500"/>
    <d v="2026-10-25T00:00:00"/>
    <x v="2"/>
    <x v="5"/>
    <x v="1"/>
    <x v="9"/>
    <n v="22039"/>
    <x v="499"/>
    <n v="46761.79"/>
    <x v="499"/>
    <x v="0"/>
    <n v="29.274180619205346"/>
    <s v="Low"/>
    <x v="4"/>
    <n v="2026"/>
  </r>
  <r>
    <s v="ORD0501"/>
    <d v="2026-10-26T00:00:00"/>
    <x v="2"/>
    <x v="5"/>
    <x v="4"/>
    <x v="9"/>
    <n v="7960"/>
    <x v="500"/>
    <n v="17199.169999999998"/>
    <x v="500"/>
    <x v="3"/>
    <n v="27.976675041876049"/>
    <s v="Low"/>
    <x v="4"/>
    <n v="2026"/>
  </r>
  <r>
    <s v="ORD0502"/>
    <d v="2026-10-27T00:00:00"/>
    <x v="0"/>
    <x v="3"/>
    <x v="5"/>
    <x v="5"/>
    <n v="43022"/>
    <x v="501"/>
    <n v="260750.33"/>
    <x v="501"/>
    <x v="1"/>
    <n v="13.416282035104961"/>
    <s v="High"/>
    <x v="4"/>
    <n v="2026"/>
  </r>
  <r>
    <s v="ORD0503"/>
    <d v="2026-10-28T00:00:00"/>
    <x v="2"/>
    <x v="7"/>
    <x v="1"/>
    <x v="0"/>
    <n v="10946"/>
    <x v="502"/>
    <n v="6908.17"/>
    <x v="502"/>
    <x v="1"/>
    <n v="36.888635117851273"/>
    <s v="Low"/>
    <x v="4"/>
    <n v="2026"/>
  </r>
  <r>
    <s v="ORD0504"/>
    <d v="2026-10-29T00:00:00"/>
    <x v="0"/>
    <x v="7"/>
    <x v="5"/>
    <x v="6"/>
    <n v="40565"/>
    <x v="503"/>
    <n v="148138.07"/>
    <x v="503"/>
    <x v="3"/>
    <n v="39.135515017050821"/>
    <s v="High"/>
    <x v="4"/>
    <n v="2026"/>
  </r>
  <r>
    <s v="ORD0505"/>
    <d v="2026-10-30T00:00:00"/>
    <x v="3"/>
    <x v="1"/>
    <x v="5"/>
    <x v="7"/>
    <n v="3512"/>
    <x v="504"/>
    <n v="17391.45"/>
    <x v="504"/>
    <x v="1"/>
    <n v="38.09990746013667"/>
    <s v="Low"/>
    <x v="4"/>
    <n v="2026"/>
  </r>
  <r>
    <s v="ORD0506"/>
    <d v="2026-10-31T00:00:00"/>
    <x v="1"/>
    <x v="2"/>
    <x v="4"/>
    <x v="1"/>
    <n v="34782"/>
    <x v="505"/>
    <n v="252456.54"/>
    <x v="505"/>
    <x v="1"/>
    <n v="19.352749506449697"/>
    <s v="High"/>
    <x v="4"/>
    <n v="2026"/>
  </r>
  <r>
    <s v="ORD0507"/>
    <d v="2026-11-01T00:00:00"/>
    <x v="1"/>
    <x v="1"/>
    <x v="4"/>
    <x v="5"/>
    <n v="10242"/>
    <x v="506"/>
    <n v="61062.49"/>
    <x v="506"/>
    <x v="1"/>
    <n v="14.82900940106564"/>
    <s v="Low"/>
    <x v="5"/>
    <n v="2026"/>
  </r>
  <r>
    <s v="ORD0508"/>
    <d v="2026-11-02T00:00:00"/>
    <x v="2"/>
    <x v="4"/>
    <x v="5"/>
    <x v="7"/>
    <n v="11339"/>
    <x v="507"/>
    <n v="56464.55"/>
    <x v="507"/>
    <x v="1"/>
    <n v="37.754045771232029"/>
    <s v="Low"/>
    <x v="5"/>
    <n v="2026"/>
  </r>
  <r>
    <s v="ORD0509"/>
    <d v="2026-11-03T00:00:00"/>
    <x v="2"/>
    <x v="2"/>
    <x v="4"/>
    <x v="0"/>
    <n v="33722"/>
    <x v="508"/>
    <n v="22486.23"/>
    <x v="508"/>
    <x v="1"/>
    <n v="33.318812644564382"/>
    <s v="Low"/>
    <x v="5"/>
    <n v="2026"/>
  </r>
  <r>
    <s v="ORD0510"/>
    <d v="2026-11-04T00:00:00"/>
    <x v="2"/>
    <x v="7"/>
    <x v="5"/>
    <x v="7"/>
    <n v="38054"/>
    <x v="509"/>
    <n v="223583.86"/>
    <x v="509"/>
    <x v="2"/>
    <n v="26.557043937562412"/>
    <s v="High"/>
    <x v="5"/>
    <n v="2026"/>
  </r>
  <r>
    <s v="ORD0511"/>
    <d v="2026-11-05T00:00:00"/>
    <x v="1"/>
    <x v="1"/>
    <x v="5"/>
    <x v="0"/>
    <n v="7226"/>
    <x v="510"/>
    <n v="5210.18"/>
    <x v="510"/>
    <x v="0"/>
    <n v="27.896761693883199"/>
    <s v="Low"/>
    <x v="5"/>
    <n v="2026"/>
  </r>
  <r>
    <s v="ORD0512"/>
    <d v="2026-11-06T00:00:00"/>
    <x v="2"/>
    <x v="4"/>
    <x v="3"/>
    <x v="2"/>
    <n v="33814"/>
    <x v="511"/>
    <n v="129964.07"/>
    <x v="511"/>
    <x v="2"/>
    <n v="23.130023067368548"/>
    <s v="Medium"/>
    <x v="5"/>
    <n v="2026"/>
  </r>
  <r>
    <s v="ORD0513"/>
    <d v="2026-11-07T00:00:00"/>
    <x v="2"/>
    <x v="4"/>
    <x v="2"/>
    <x v="7"/>
    <n v="22256"/>
    <x v="512"/>
    <n v="136748.92000000001"/>
    <x v="512"/>
    <x v="3"/>
    <n v="23.195475377426312"/>
    <s v="Medium"/>
    <x v="5"/>
    <n v="2026"/>
  </r>
  <r>
    <s v="ORD0514"/>
    <d v="2026-11-08T00:00:00"/>
    <x v="3"/>
    <x v="4"/>
    <x v="0"/>
    <x v="3"/>
    <n v="643"/>
    <x v="513"/>
    <n v="1806.59"/>
    <x v="513"/>
    <x v="0"/>
    <n v="29.759331259720064"/>
    <s v="Low"/>
    <x v="5"/>
    <n v="2026"/>
  </r>
  <r>
    <s v="ORD0515"/>
    <d v="2026-11-09T00:00:00"/>
    <x v="2"/>
    <x v="3"/>
    <x v="2"/>
    <x v="7"/>
    <n v="9704"/>
    <x v="514"/>
    <n v="65719.490000000005"/>
    <x v="514"/>
    <x v="2"/>
    <n v="15.344844909315746"/>
    <s v="Low"/>
    <x v="5"/>
    <n v="2026"/>
  </r>
  <r>
    <s v="ORD0516"/>
    <d v="2026-11-10T00:00:00"/>
    <x v="2"/>
    <x v="6"/>
    <x v="2"/>
    <x v="3"/>
    <n v="8413"/>
    <x v="515"/>
    <n v="29582.29"/>
    <x v="515"/>
    <x v="3"/>
    <n v="12.093515987162725"/>
    <s v="Low"/>
    <x v="5"/>
    <n v="2026"/>
  </r>
  <r>
    <s v="ORD0517"/>
    <d v="2026-11-11T00:00:00"/>
    <x v="1"/>
    <x v="3"/>
    <x v="1"/>
    <x v="6"/>
    <n v="7562"/>
    <x v="516"/>
    <n v="37529.21"/>
    <x v="516"/>
    <x v="3"/>
    <n v="17.285528519791942"/>
    <s v="Low"/>
    <x v="5"/>
    <n v="2026"/>
  </r>
  <r>
    <s v="ORD0518"/>
    <d v="2026-11-12T00:00:00"/>
    <x v="2"/>
    <x v="1"/>
    <x v="1"/>
    <x v="4"/>
    <n v="33543"/>
    <x v="517"/>
    <n v="214806.29"/>
    <x v="517"/>
    <x v="0"/>
    <n v="35.960918820618318"/>
    <s v="High"/>
    <x v="5"/>
    <n v="2026"/>
  </r>
  <r>
    <s v="ORD0519"/>
    <d v="2026-11-13T00:00:00"/>
    <x v="0"/>
    <x v="0"/>
    <x v="5"/>
    <x v="4"/>
    <n v="32149"/>
    <x v="518"/>
    <n v="282046.8"/>
    <x v="518"/>
    <x v="1"/>
    <n v="12.268873059815235"/>
    <s v="High"/>
    <x v="5"/>
    <n v="2026"/>
  </r>
  <r>
    <s v="ORD0520"/>
    <d v="2026-11-14T00:00:00"/>
    <x v="2"/>
    <x v="2"/>
    <x v="5"/>
    <x v="4"/>
    <n v="40225"/>
    <x v="519"/>
    <n v="347869.32"/>
    <x v="519"/>
    <x v="1"/>
    <n v="13.519124922311995"/>
    <s v="High"/>
    <x v="5"/>
    <n v="2026"/>
  </r>
  <r>
    <s v="ORD0521"/>
    <d v="2026-11-15T00:00:00"/>
    <x v="0"/>
    <x v="0"/>
    <x v="5"/>
    <x v="6"/>
    <n v="19778"/>
    <x v="520"/>
    <n v="87322.29"/>
    <x v="520"/>
    <x v="3"/>
    <n v="26.414627363737488"/>
    <s v="Medium"/>
    <x v="5"/>
    <n v="2026"/>
  </r>
  <r>
    <s v="ORD0522"/>
    <d v="2026-11-16T00:00:00"/>
    <x v="3"/>
    <x v="6"/>
    <x v="1"/>
    <x v="1"/>
    <n v="20089"/>
    <x v="521"/>
    <n v="154209.21"/>
    <x v="521"/>
    <x v="1"/>
    <n v="14.707767103058059"/>
    <s v="Medium"/>
    <x v="5"/>
    <n v="2026"/>
  </r>
  <r>
    <s v="ORD0523"/>
    <d v="2026-11-17T00:00:00"/>
    <x v="0"/>
    <x v="0"/>
    <x v="3"/>
    <x v="2"/>
    <n v="45497"/>
    <x v="522"/>
    <n v="160055.73000000001"/>
    <x v="522"/>
    <x v="2"/>
    <n v="29.64119392487417"/>
    <s v="High"/>
    <x v="5"/>
    <n v="2026"/>
  </r>
  <r>
    <s v="ORD0524"/>
    <d v="2026-11-18T00:00:00"/>
    <x v="2"/>
    <x v="5"/>
    <x v="4"/>
    <x v="1"/>
    <n v="31981"/>
    <x v="523"/>
    <n v="223021.96"/>
    <x v="523"/>
    <x v="3"/>
    <n v="22.515813208537015"/>
    <s v="High"/>
    <x v="5"/>
    <n v="2026"/>
  </r>
  <r>
    <s v="ORD0525"/>
    <d v="2026-11-19T00:00:00"/>
    <x v="1"/>
    <x v="1"/>
    <x v="3"/>
    <x v="8"/>
    <n v="2156"/>
    <x v="524"/>
    <n v="3079.89"/>
    <x v="524"/>
    <x v="1"/>
    <n v="28.573979591836736"/>
    <s v="Low"/>
    <x v="5"/>
    <n v="2026"/>
  </r>
  <r>
    <s v="ORD0526"/>
    <d v="2026-11-20T00:00:00"/>
    <x v="1"/>
    <x v="5"/>
    <x v="2"/>
    <x v="2"/>
    <n v="45286"/>
    <x v="525"/>
    <n v="152878.35999999999"/>
    <x v="525"/>
    <x v="1"/>
    <n v="32.483169191361569"/>
    <s v="High"/>
    <x v="5"/>
    <n v="2026"/>
  </r>
  <r>
    <s v="ORD0527"/>
    <d v="2026-11-21T00:00:00"/>
    <x v="0"/>
    <x v="2"/>
    <x v="0"/>
    <x v="6"/>
    <n v="30161"/>
    <x v="526"/>
    <n v="114143.22"/>
    <x v="526"/>
    <x v="1"/>
    <n v="36.925599283843376"/>
    <s v="Medium"/>
    <x v="5"/>
    <n v="2026"/>
  </r>
  <r>
    <s v="ORD0528"/>
    <d v="2026-11-22T00:00:00"/>
    <x v="2"/>
    <x v="2"/>
    <x v="1"/>
    <x v="2"/>
    <n v="45912"/>
    <x v="527"/>
    <n v="183498.34"/>
    <x v="527"/>
    <x v="3"/>
    <n v="20.065194284718594"/>
    <s v="High"/>
    <x v="5"/>
    <n v="2026"/>
  </r>
  <r>
    <s v="ORD0529"/>
    <d v="2026-11-23T00:00:00"/>
    <x v="3"/>
    <x v="6"/>
    <x v="4"/>
    <x v="1"/>
    <n v="4025"/>
    <x v="528"/>
    <n v="21875.9"/>
    <x v="528"/>
    <x v="3"/>
    <n v="39.61104209799862"/>
    <s v="Low"/>
    <x v="5"/>
    <n v="2026"/>
  </r>
  <r>
    <s v="ORD0530"/>
    <d v="2026-11-24T00:00:00"/>
    <x v="0"/>
    <x v="6"/>
    <x v="1"/>
    <x v="6"/>
    <n v="49986"/>
    <x v="529"/>
    <n v="232889.45"/>
    <x v="529"/>
    <x v="2"/>
    <n v="22.348440896784432"/>
    <s v="High"/>
    <x v="5"/>
    <n v="2026"/>
  </r>
  <r>
    <s v="ORD0531"/>
    <d v="2026-11-25T00:00:00"/>
    <x v="1"/>
    <x v="2"/>
    <x v="2"/>
    <x v="8"/>
    <n v="12753"/>
    <x v="530"/>
    <n v="22668.27"/>
    <x v="530"/>
    <x v="0"/>
    <n v="11.125735121147965"/>
    <s v="Low"/>
    <x v="5"/>
    <n v="2026"/>
  </r>
  <r>
    <s v="ORD0532"/>
    <d v="2026-11-26T00:00:00"/>
    <x v="3"/>
    <x v="1"/>
    <x v="4"/>
    <x v="1"/>
    <n v="17817"/>
    <x v="531"/>
    <n v="102468.77"/>
    <x v="531"/>
    <x v="2"/>
    <n v="36.098002531913963"/>
    <s v="Medium"/>
    <x v="5"/>
    <n v="2026"/>
  </r>
  <r>
    <s v="ORD0533"/>
    <d v="2026-11-27T00:00:00"/>
    <x v="3"/>
    <x v="1"/>
    <x v="1"/>
    <x v="9"/>
    <n v="3117"/>
    <x v="532"/>
    <n v="6041.78"/>
    <x v="532"/>
    <x v="2"/>
    <n v="35.388942359105975"/>
    <s v="Low"/>
    <x v="5"/>
    <n v="2026"/>
  </r>
  <r>
    <s v="ORD0534"/>
    <d v="2026-11-28T00:00:00"/>
    <x v="3"/>
    <x v="6"/>
    <x v="3"/>
    <x v="1"/>
    <n v="23967"/>
    <x v="533"/>
    <n v="134137.98000000001"/>
    <x v="533"/>
    <x v="1"/>
    <n v="37.813577001710684"/>
    <s v="High"/>
    <x v="5"/>
    <n v="2026"/>
  </r>
  <r>
    <s v="ORD0535"/>
    <d v="2026-11-29T00:00:00"/>
    <x v="2"/>
    <x v="3"/>
    <x v="0"/>
    <x v="1"/>
    <n v="10944"/>
    <x v="534"/>
    <n v="71387.87"/>
    <x v="534"/>
    <x v="2"/>
    <n v="27.522061809616634"/>
    <s v="Low"/>
    <x v="5"/>
    <n v="2026"/>
  </r>
  <r>
    <s v="ORD0536"/>
    <d v="2026-11-30T00:00:00"/>
    <x v="0"/>
    <x v="7"/>
    <x v="2"/>
    <x v="6"/>
    <n v="22196"/>
    <x v="535"/>
    <n v="94320.48"/>
    <x v="535"/>
    <x v="0"/>
    <n v="29.176067759956748"/>
    <s v="Medium"/>
    <x v="5"/>
    <n v="2026"/>
  </r>
  <r>
    <s v="ORD0537"/>
    <d v="2026-12-01T00:00:00"/>
    <x v="0"/>
    <x v="1"/>
    <x v="1"/>
    <x v="6"/>
    <n v="29707"/>
    <x v="536"/>
    <n v="119797.23"/>
    <x v="536"/>
    <x v="2"/>
    <n v="32.789561382839061"/>
    <s v="Medium"/>
    <x v="6"/>
    <n v="2026"/>
  </r>
  <r>
    <s v="ORD0538"/>
    <d v="2026-12-02T00:00:00"/>
    <x v="3"/>
    <x v="1"/>
    <x v="0"/>
    <x v="5"/>
    <n v="17315"/>
    <x v="537"/>
    <n v="92366.84"/>
    <x v="537"/>
    <x v="2"/>
    <n v="23.792879831690112"/>
    <s v="Medium"/>
    <x v="6"/>
    <n v="2026"/>
  </r>
  <r>
    <s v="ORD0539"/>
    <d v="2026-12-03T00:00:00"/>
    <x v="0"/>
    <x v="4"/>
    <x v="3"/>
    <x v="7"/>
    <n v="32403"/>
    <x v="538"/>
    <n v="158944.62"/>
    <x v="538"/>
    <x v="0"/>
    <n v="38.684450513841313"/>
    <s v="High"/>
    <x v="6"/>
    <n v="2026"/>
  </r>
  <r>
    <s v="ORD0540"/>
    <d v="2026-12-04T00:00:00"/>
    <x v="1"/>
    <x v="6"/>
    <x v="2"/>
    <x v="1"/>
    <n v="35444"/>
    <x v="539"/>
    <n v="192099.13"/>
    <x v="539"/>
    <x v="1"/>
    <n v="39.780081881904472"/>
    <s v="High"/>
    <x v="6"/>
    <n v="2026"/>
  </r>
  <r>
    <s v="ORD0541"/>
    <d v="2026-12-05T00:00:00"/>
    <x v="2"/>
    <x v="3"/>
    <x v="5"/>
    <x v="8"/>
    <n v="13972"/>
    <x v="540"/>
    <n v="21274.5"/>
    <x v="540"/>
    <x v="1"/>
    <n v="23.867377612367594"/>
    <s v="Low"/>
    <x v="6"/>
    <n v="2026"/>
  </r>
  <r>
    <s v="ORD0542"/>
    <d v="2026-12-06T00:00:00"/>
    <x v="1"/>
    <x v="0"/>
    <x v="5"/>
    <x v="6"/>
    <n v="2982"/>
    <x v="541"/>
    <n v="11204.98"/>
    <x v="541"/>
    <x v="2"/>
    <n v="37.374357254638944"/>
    <s v="Low"/>
    <x v="6"/>
    <n v="2026"/>
  </r>
  <r>
    <s v="ORD0543"/>
    <d v="2026-12-07T00:00:00"/>
    <x v="2"/>
    <x v="2"/>
    <x v="0"/>
    <x v="4"/>
    <n v="15418"/>
    <x v="542"/>
    <n v="134644.76999999999"/>
    <x v="542"/>
    <x v="3"/>
    <n v="12.670404721753794"/>
    <s v="Medium"/>
    <x v="6"/>
    <n v="2026"/>
  </r>
  <r>
    <s v="ORD0544"/>
    <d v="2026-12-08T00:00:00"/>
    <x v="1"/>
    <x v="1"/>
    <x v="5"/>
    <x v="5"/>
    <n v="21235"/>
    <x v="543"/>
    <n v="89940.23"/>
    <x v="543"/>
    <x v="0"/>
    <n v="39.493269198425779"/>
    <s v="Medium"/>
    <x v="6"/>
    <n v="2026"/>
  </r>
  <r>
    <s v="ORD0545"/>
    <d v="2026-12-09T00:00:00"/>
    <x v="1"/>
    <x v="5"/>
    <x v="0"/>
    <x v="8"/>
    <n v="23942"/>
    <x v="544"/>
    <n v="42061.99"/>
    <x v="544"/>
    <x v="2"/>
    <n v="12.158570712555344"/>
    <s v="Low"/>
    <x v="6"/>
    <n v="2026"/>
  </r>
  <r>
    <s v="ORD0546"/>
    <d v="2026-12-10T00:00:00"/>
    <x v="1"/>
    <x v="7"/>
    <x v="0"/>
    <x v="2"/>
    <n v="29183"/>
    <x v="545"/>
    <n v="104245.19"/>
    <x v="545"/>
    <x v="1"/>
    <n v="28.557591748620769"/>
    <s v="Medium"/>
    <x v="6"/>
    <n v="2026"/>
  </r>
  <r>
    <s v="ORD0547"/>
    <d v="2026-12-11T00:00:00"/>
    <x v="3"/>
    <x v="0"/>
    <x v="2"/>
    <x v="9"/>
    <n v="49439"/>
    <x v="546"/>
    <n v="106387.45"/>
    <x v="546"/>
    <x v="2"/>
    <n v="28.270225260759052"/>
    <s v="Medium"/>
    <x v="6"/>
    <n v="2026"/>
  </r>
  <r>
    <s v="ORD0548"/>
    <d v="2026-12-12T00:00:00"/>
    <x v="0"/>
    <x v="3"/>
    <x v="1"/>
    <x v="6"/>
    <n v="1230"/>
    <x v="547"/>
    <n v="5653.5"/>
    <x v="547"/>
    <x v="0"/>
    <n v="23.394308943089431"/>
    <s v="Low"/>
    <x v="6"/>
    <n v="2026"/>
  </r>
  <r>
    <s v="ORD0549"/>
    <d v="2026-12-13T00:00:00"/>
    <x v="1"/>
    <x v="5"/>
    <x v="3"/>
    <x v="4"/>
    <n v="26326"/>
    <x v="548"/>
    <n v="200379.19"/>
    <x v="548"/>
    <x v="1"/>
    <n v="23.885440249183315"/>
    <s v="High"/>
    <x v="6"/>
    <n v="2026"/>
  </r>
  <r>
    <s v="ORD0550"/>
    <d v="2026-12-14T00:00:00"/>
    <x v="0"/>
    <x v="0"/>
    <x v="2"/>
    <x v="5"/>
    <n v="42831"/>
    <x v="549"/>
    <n v="256474.75"/>
    <x v="549"/>
    <x v="1"/>
    <n v="14.456234969998366"/>
    <s v="High"/>
    <x v="6"/>
    <n v="2026"/>
  </r>
  <r>
    <s v="ORD0551"/>
    <d v="2026-12-15T00:00:00"/>
    <x v="1"/>
    <x v="7"/>
    <x v="3"/>
    <x v="2"/>
    <n v="13235"/>
    <x v="550"/>
    <n v="41980.54"/>
    <x v="550"/>
    <x v="0"/>
    <n v="36.561329807329052"/>
    <s v="Low"/>
    <x v="6"/>
    <n v="2026"/>
  </r>
  <r>
    <s v="ORD0552"/>
    <d v="2026-12-16T00:00:00"/>
    <x v="2"/>
    <x v="4"/>
    <x v="1"/>
    <x v="8"/>
    <n v="16929"/>
    <x v="551"/>
    <n v="21312.28"/>
    <x v="551"/>
    <x v="2"/>
    <n v="37.053931124106562"/>
    <s v="Low"/>
    <x v="6"/>
    <n v="2026"/>
  </r>
  <r>
    <s v="ORD0553"/>
    <d v="2026-12-17T00:00:00"/>
    <x v="1"/>
    <x v="6"/>
    <x v="1"/>
    <x v="3"/>
    <n v="7056"/>
    <x v="552"/>
    <n v="19348.71"/>
    <x v="552"/>
    <x v="2"/>
    <n v="31.445897108843539"/>
    <s v="Low"/>
    <x v="6"/>
    <n v="2026"/>
  </r>
  <r>
    <s v="ORD0554"/>
    <d v="2026-12-18T00:00:00"/>
    <x v="0"/>
    <x v="4"/>
    <x v="5"/>
    <x v="6"/>
    <n v="40892"/>
    <x v="553"/>
    <n v="195748.37"/>
    <x v="553"/>
    <x v="2"/>
    <n v="20.217332648602824"/>
    <s v="High"/>
    <x v="6"/>
    <n v="2026"/>
  </r>
  <r>
    <s v="ORD0555"/>
    <d v="2026-12-19T00:00:00"/>
    <x v="0"/>
    <x v="2"/>
    <x v="2"/>
    <x v="0"/>
    <n v="21026"/>
    <x v="554"/>
    <n v="14168.42"/>
    <x v="554"/>
    <x v="2"/>
    <n v="32.614762674783599"/>
    <s v="Low"/>
    <x v="6"/>
    <n v="2026"/>
  </r>
  <r>
    <s v="ORD0556"/>
    <d v="2026-12-20T00:00:00"/>
    <x v="3"/>
    <x v="5"/>
    <x v="2"/>
    <x v="6"/>
    <n v="31954"/>
    <x v="555"/>
    <n v="141656.14000000001"/>
    <x v="555"/>
    <x v="3"/>
    <n v="26.114550082410133"/>
    <s v="Medium"/>
    <x v="6"/>
    <n v="2026"/>
  </r>
  <r>
    <s v="ORD0557"/>
    <d v="2026-12-21T00:00:00"/>
    <x v="3"/>
    <x v="0"/>
    <x v="0"/>
    <x v="9"/>
    <n v="42806"/>
    <x v="556"/>
    <n v="100421.37"/>
    <x v="556"/>
    <x v="1"/>
    <n v="21.80117273279447"/>
    <s v="Medium"/>
    <x v="6"/>
    <n v="2026"/>
  </r>
  <r>
    <s v="ORD0558"/>
    <d v="2026-12-22T00:00:00"/>
    <x v="1"/>
    <x v="1"/>
    <x v="1"/>
    <x v="8"/>
    <n v="48172"/>
    <x v="557"/>
    <n v="59985.7"/>
    <x v="557"/>
    <x v="3"/>
    <n v="37.738001328572615"/>
    <s v="Low"/>
    <x v="6"/>
    <n v="2026"/>
  </r>
  <r>
    <s v="ORD0559"/>
    <d v="2026-12-23T00:00:00"/>
    <x v="2"/>
    <x v="0"/>
    <x v="2"/>
    <x v="0"/>
    <n v="36649"/>
    <x v="558"/>
    <n v="24854.799999999999"/>
    <x v="558"/>
    <x v="2"/>
    <n v="32.181505634533004"/>
    <s v="Low"/>
    <x v="6"/>
    <n v="2026"/>
  </r>
  <r>
    <s v="ORD0560"/>
    <d v="2026-12-24T00:00:00"/>
    <x v="0"/>
    <x v="7"/>
    <x v="2"/>
    <x v="4"/>
    <n v="48552"/>
    <x v="559"/>
    <n v="416163.1"/>
    <x v="559"/>
    <x v="0"/>
    <n v="14.285075795023891"/>
    <s v="High"/>
    <x v="6"/>
    <n v="2026"/>
  </r>
  <r>
    <s v="ORD0561"/>
    <d v="2026-12-25T00:00:00"/>
    <x v="0"/>
    <x v="0"/>
    <x v="4"/>
    <x v="1"/>
    <n v="1194"/>
    <x v="560"/>
    <n v="8583.94"/>
    <x v="560"/>
    <x v="3"/>
    <n v="20.11967243625535"/>
    <s v="Low"/>
    <x v="6"/>
    <n v="2026"/>
  </r>
  <r>
    <s v="ORD0562"/>
    <d v="2026-12-26T00:00:00"/>
    <x v="0"/>
    <x v="7"/>
    <x v="2"/>
    <x v="4"/>
    <n v="37581"/>
    <x v="561"/>
    <n v="299830.23"/>
    <x v="561"/>
    <x v="2"/>
    <n v="20.217601979723799"/>
    <s v="High"/>
    <x v="6"/>
    <n v="2026"/>
  </r>
  <r>
    <s v="ORD0563"/>
    <d v="2026-12-27T00:00:00"/>
    <x v="3"/>
    <x v="6"/>
    <x v="2"/>
    <x v="7"/>
    <n v="15687"/>
    <x v="562"/>
    <n v="77664.25"/>
    <x v="562"/>
    <x v="0"/>
    <n v="38.114163001211196"/>
    <s v="Medium"/>
    <x v="6"/>
    <n v="2026"/>
  </r>
  <r>
    <s v="ORD0564"/>
    <d v="2026-12-28T00:00:00"/>
    <x v="2"/>
    <x v="1"/>
    <x v="2"/>
    <x v="1"/>
    <n v="24174"/>
    <x v="563"/>
    <n v="155870.35999999999"/>
    <x v="563"/>
    <x v="0"/>
    <n v="28.35720654881737"/>
    <s v="High"/>
    <x v="6"/>
    <n v="2026"/>
  </r>
  <r>
    <s v="ORD0565"/>
    <d v="2026-12-29T00:00:00"/>
    <x v="3"/>
    <x v="5"/>
    <x v="4"/>
    <x v="8"/>
    <n v="46620"/>
    <x v="564"/>
    <n v="83033.240000000005"/>
    <x v="564"/>
    <x v="1"/>
    <n v="10.946761046761047"/>
    <s v="Low"/>
    <x v="6"/>
    <n v="2026"/>
  </r>
  <r>
    <s v="ORD0566"/>
    <d v="2026-12-30T00:00:00"/>
    <x v="1"/>
    <x v="5"/>
    <x v="1"/>
    <x v="5"/>
    <n v="24440"/>
    <x v="565"/>
    <n v="132810.03"/>
    <x v="565"/>
    <x v="3"/>
    <n v="22.369634089314943"/>
    <s v="Medium"/>
    <x v="6"/>
    <n v="2026"/>
  </r>
  <r>
    <s v="ORD0567"/>
    <d v="2026-12-31T00:00:00"/>
    <x v="3"/>
    <x v="7"/>
    <x v="3"/>
    <x v="5"/>
    <n v="23627"/>
    <x v="566"/>
    <n v="139781.99"/>
    <x v="566"/>
    <x v="3"/>
    <n v="15.482897895265102"/>
    <s v="Medium"/>
    <x v="6"/>
    <n v="2026"/>
  </r>
  <r>
    <s v="ORD0568"/>
    <d v="2027-01-01T00:00:00"/>
    <x v="0"/>
    <x v="3"/>
    <x v="0"/>
    <x v="1"/>
    <n v="9607"/>
    <x v="567"/>
    <n v="63288.29"/>
    <x v="567"/>
    <x v="2"/>
    <n v="26.80303713727259"/>
    <s v="Low"/>
    <x v="7"/>
    <n v="2027"/>
  </r>
  <r>
    <s v="ORD0569"/>
    <d v="2027-01-02T00:00:00"/>
    <x v="1"/>
    <x v="6"/>
    <x v="2"/>
    <x v="9"/>
    <n v="10812"/>
    <x v="568"/>
    <n v="22986.32"/>
    <x v="568"/>
    <x v="3"/>
    <n v="29.133308669379705"/>
    <s v="Low"/>
    <x v="7"/>
    <n v="2027"/>
  </r>
  <r>
    <s v="ORD0570"/>
    <d v="2027-01-03T00:00:00"/>
    <x v="2"/>
    <x v="6"/>
    <x v="1"/>
    <x v="8"/>
    <n v="32056"/>
    <x v="569"/>
    <n v="51454.29"/>
    <x v="569"/>
    <x v="1"/>
    <n v="19.743121412528076"/>
    <s v="Low"/>
    <x v="7"/>
    <n v="2027"/>
  </r>
  <r>
    <s v="ORD0571"/>
    <d v="2027-01-04T00:00:00"/>
    <x v="0"/>
    <x v="0"/>
    <x v="5"/>
    <x v="0"/>
    <n v="16469"/>
    <x v="570"/>
    <n v="10094.56"/>
    <x v="570"/>
    <x v="0"/>
    <n v="38.705689477199584"/>
    <s v="Low"/>
    <x v="7"/>
    <n v="2027"/>
  </r>
  <r>
    <s v="ORD0572"/>
    <d v="2027-01-05T00:00:00"/>
    <x v="0"/>
    <x v="2"/>
    <x v="2"/>
    <x v="0"/>
    <n v="11401"/>
    <x v="571"/>
    <n v="7723.93"/>
    <x v="571"/>
    <x v="0"/>
    <n v="32.25217086220507"/>
    <s v="Low"/>
    <x v="7"/>
    <n v="2027"/>
  </r>
  <r>
    <s v="ORD0573"/>
    <d v="2027-01-06T00:00:00"/>
    <x v="2"/>
    <x v="7"/>
    <x v="4"/>
    <x v="8"/>
    <n v="14694"/>
    <x v="572"/>
    <n v="21593.16"/>
    <x v="572"/>
    <x v="1"/>
    <n v="26.523887300939158"/>
    <s v="Low"/>
    <x v="7"/>
    <n v="2027"/>
  </r>
  <r>
    <s v="ORD0574"/>
    <d v="2027-01-07T00:00:00"/>
    <x v="0"/>
    <x v="5"/>
    <x v="5"/>
    <x v="4"/>
    <n v="9852"/>
    <x v="573"/>
    <n v="82597.67"/>
    <x v="573"/>
    <x v="1"/>
    <n v="16.161520503451076"/>
    <s v="Low"/>
    <x v="7"/>
    <n v="2027"/>
  </r>
  <r>
    <s v="ORD0575"/>
    <d v="2027-01-08T00:00:00"/>
    <x v="0"/>
    <x v="2"/>
    <x v="4"/>
    <x v="7"/>
    <n v="39594"/>
    <x v="574"/>
    <n v="246172.94"/>
    <x v="574"/>
    <x v="3"/>
    <n v="22.282119765621054"/>
    <s v="High"/>
    <x v="7"/>
    <n v="2027"/>
  </r>
  <r>
    <s v="ORD0576"/>
    <d v="2027-01-09T00:00:00"/>
    <x v="2"/>
    <x v="0"/>
    <x v="0"/>
    <x v="0"/>
    <n v="13761"/>
    <x v="575"/>
    <n v="10414.51"/>
    <x v="575"/>
    <x v="0"/>
    <n v="24.31865416757503"/>
    <s v="Low"/>
    <x v="7"/>
    <n v="2027"/>
  </r>
  <r>
    <s v="ORD0577"/>
    <d v="2027-01-10T00:00:00"/>
    <x v="1"/>
    <x v="3"/>
    <x v="5"/>
    <x v="4"/>
    <n v="39809"/>
    <x v="576"/>
    <n v="243516.02"/>
    <x v="576"/>
    <x v="3"/>
    <n v="38.828903011881735"/>
    <s v="High"/>
    <x v="7"/>
    <n v="2027"/>
  </r>
  <r>
    <s v="ORD0578"/>
    <d v="2027-01-11T00:00:00"/>
    <x v="2"/>
    <x v="2"/>
    <x v="2"/>
    <x v="4"/>
    <n v="35842"/>
    <x v="577"/>
    <n v="304032.11"/>
    <x v="577"/>
    <x v="2"/>
    <n v="15.174345739635065"/>
    <s v="High"/>
    <x v="7"/>
    <n v="2027"/>
  </r>
  <r>
    <s v="ORD0579"/>
    <d v="2027-01-12T00:00:00"/>
    <x v="2"/>
    <x v="2"/>
    <x v="1"/>
    <x v="1"/>
    <n v="28612"/>
    <x v="578"/>
    <n v="172233.16"/>
    <x v="578"/>
    <x v="2"/>
    <n v="33.115413890053901"/>
    <s v="High"/>
    <x v="7"/>
    <n v="2027"/>
  </r>
  <r>
    <s v="ORD0580"/>
    <d v="2027-01-13T00:00:00"/>
    <x v="3"/>
    <x v="7"/>
    <x v="1"/>
    <x v="4"/>
    <n v="6903"/>
    <x v="579"/>
    <n v="50229.46"/>
    <x v="579"/>
    <x v="1"/>
    <n v="27.235317977690858"/>
    <s v="Low"/>
    <x v="7"/>
    <n v="2027"/>
  </r>
  <r>
    <s v="ORD0581"/>
    <d v="2027-01-14T00:00:00"/>
    <x v="0"/>
    <x v="1"/>
    <x v="4"/>
    <x v="4"/>
    <n v="36133"/>
    <x v="580"/>
    <n v="261094.89"/>
    <x v="580"/>
    <x v="0"/>
    <n v="27.740600005535104"/>
    <s v="High"/>
    <x v="7"/>
    <n v="2027"/>
  </r>
  <r>
    <s v="ORD0582"/>
    <d v="2027-01-15T00:00:00"/>
    <x v="0"/>
    <x v="4"/>
    <x v="3"/>
    <x v="8"/>
    <n v="34563"/>
    <x v="581"/>
    <n v="41624.79"/>
    <x v="581"/>
    <x v="3"/>
    <n v="39.784176720770766"/>
    <s v="Low"/>
    <x v="7"/>
    <n v="2027"/>
  </r>
  <r>
    <s v="ORD0583"/>
    <d v="2027-01-16T00:00:00"/>
    <x v="3"/>
    <x v="5"/>
    <x v="0"/>
    <x v="9"/>
    <n v="28423"/>
    <x v="582"/>
    <n v="67829.17"/>
    <x v="582"/>
    <x v="3"/>
    <n v="20.452720214849478"/>
    <s v="Low"/>
    <x v="7"/>
    <n v="2027"/>
  </r>
  <r>
    <s v="ORD0584"/>
    <d v="2027-01-17T00:00:00"/>
    <x v="2"/>
    <x v="6"/>
    <x v="4"/>
    <x v="4"/>
    <n v="18559"/>
    <x v="583"/>
    <n v="166574.37"/>
    <x v="583"/>
    <x v="3"/>
    <n v="10.246042351419797"/>
    <s v="Medium"/>
    <x v="7"/>
    <n v="2027"/>
  </r>
  <r>
    <s v="ORD0585"/>
    <d v="2027-01-18T00:00:00"/>
    <x v="2"/>
    <x v="5"/>
    <x v="3"/>
    <x v="7"/>
    <n v="12212"/>
    <x v="584"/>
    <n v="69468.100000000006"/>
    <x v="584"/>
    <x v="2"/>
    <n v="28.893608745496234"/>
    <s v="Low"/>
    <x v="7"/>
    <n v="2027"/>
  </r>
  <r>
    <s v="ORD0586"/>
    <d v="2027-01-19T00:00:00"/>
    <x v="1"/>
    <x v="6"/>
    <x v="4"/>
    <x v="5"/>
    <n v="48720"/>
    <x v="585"/>
    <n v="218750.07"/>
    <x v="585"/>
    <x v="3"/>
    <n v="35.85794334975369"/>
    <s v="High"/>
    <x v="7"/>
    <n v="2027"/>
  </r>
  <r>
    <s v="ORD0587"/>
    <d v="2027-01-20T00:00:00"/>
    <x v="3"/>
    <x v="1"/>
    <x v="2"/>
    <x v="8"/>
    <n v="14554"/>
    <x v="586"/>
    <n v="21903.86"/>
    <x v="586"/>
    <x v="1"/>
    <n v="24.749690806651092"/>
    <s v="Low"/>
    <x v="7"/>
    <n v="2027"/>
  </r>
  <r>
    <s v="ORD0588"/>
    <d v="2027-01-21T00:00:00"/>
    <x v="2"/>
    <x v="2"/>
    <x v="1"/>
    <x v="0"/>
    <n v="6469"/>
    <x v="587"/>
    <n v="5479.09"/>
    <x v="587"/>
    <x v="0"/>
    <n v="15.302365125985467"/>
    <s v="Low"/>
    <x v="7"/>
    <n v="2027"/>
  </r>
  <r>
    <s v="ORD0589"/>
    <d v="2027-01-22T00:00:00"/>
    <x v="1"/>
    <x v="2"/>
    <x v="4"/>
    <x v="3"/>
    <n v="24803"/>
    <x v="588"/>
    <n v="61909.47"/>
    <x v="588"/>
    <x v="3"/>
    <n v="37.598808611861465"/>
    <s v="Low"/>
    <x v="7"/>
    <n v="2027"/>
  </r>
  <r>
    <s v="ORD0590"/>
    <d v="2027-01-23T00:00:00"/>
    <x v="1"/>
    <x v="0"/>
    <x v="1"/>
    <x v="1"/>
    <n v="19274"/>
    <x v="589"/>
    <n v="141111.43"/>
    <x v="589"/>
    <x v="3"/>
    <n v="18.651822259117061"/>
    <s v="Medium"/>
    <x v="7"/>
    <n v="2027"/>
  </r>
  <r>
    <s v="ORD0591"/>
    <d v="2027-01-24T00:00:00"/>
    <x v="3"/>
    <x v="6"/>
    <x v="0"/>
    <x v="3"/>
    <n v="43549"/>
    <x v="590"/>
    <n v="153157.92000000001"/>
    <x v="590"/>
    <x v="0"/>
    <n v="12.077246320236975"/>
    <s v="Medium"/>
    <x v="7"/>
    <n v="2027"/>
  </r>
  <r>
    <s v="ORD0592"/>
    <d v="2027-01-25T00:00:00"/>
    <x v="0"/>
    <x v="1"/>
    <x v="3"/>
    <x v="1"/>
    <n v="46273"/>
    <x v="591"/>
    <n v="278818.5"/>
    <x v="591"/>
    <x v="2"/>
    <n v="33.049870694933695"/>
    <s v="High"/>
    <x v="7"/>
    <n v="2027"/>
  </r>
  <r>
    <s v="ORD0593"/>
    <d v="2027-01-26T00:00:00"/>
    <x v="3"/>
    <x v="2"/>
    <x v="1"/>
    <x v="0"/>
    <n v="10818"/>
    <x v="592"/>
    <n v="6772.64"/>
    <x v="592"/>
    <x v="2"/>
    <n v="37.394712516176739"/>
    <s v="Low"/>
    <x v="7"/>
    <n v="2027"/>
  </r>
  <r>
    <s v="ORD0594"/>
    <d v="2027-01-27T00:00:00"/>
    <x v="1"/>
    <x v="3"/>
    <x v="5"/>
    <x v="5"/>
    <n v="38909"/>
    <x v="593"/>
    <n v="179784.94"/>
    <x v="593"/>
    <x v="0"/>
    <n v="33.990688896803164"/>
    <s v="High"/>
    <x v="7"/>
    <n v="2027"/>
  </r>
  <r>
    <s v="ORD0595"/>
    <d v="2027-01-28T00:00:00"/>
    <x v="3"/>
    <x v="6"/>
    <x v="4"/>
    <x v="1"/>
    <n v="38703"/>
    <x v="594"/>
    <n v="245371.49"/>
    <x v="594"/>
    <x v="1"/>
    <n v="29.557143144229414"/>
    <s v="High"/>
    <x v="7"/>
    <n v="2027"/>
  </r>
  <r>
    <s v="ORD0596"/>
    <d v="2027-01-29T00:00:00"/>
    <x v="2"/>
    <x v="3"/>
    <x v="5"/>
    <x v="4"/>
    <n v="804"/>
    <x v="595"/>
    <n v="5453.79"/>
    <x v="595"/>
    <x v="0"/>
    <n v="32.166791044776119"/>
    <s v="Low"/>
    <x v="7"/>
    <n v="2027"/>
  </r>
  <r>
    <s v="ORD0597"/>
    <d v="2027-01-30T00:00:00"/>
    <x v="3"/>
    <x v="5"/>
    <x v="4"/>
    <x v="6"/>
    <n v="8168"/>
    <x v="596"/>
    <n v="41209.980000000003"/>
    <x v="596"/>
    <x v="3"/>
    <n v="15.911728697355535"/>
    <s v="Low"/>
    <x v="7"/>
    <n v="2027"/>
  </r>
  <r>
    <s v="ORD0598"/>
    <d v="2027-01-31T00:00:00"/>
    <x v="2"/>
    <x v="7"/>
    <x v="3"/>
    <x v="7"/>
    <n v="16443"/>
    <x v="597"/>
    <n v="108818.72"/>
    <x v="597"/>
    <x v="0"/>
    <n v="17.275801252812748"/>
    <s v="Medium"/>
    <x v="7"/>
    <n v="2027"/>
  </r>
  <r>
    <s v="ORD0599"/>
    <d v="2027-02-01T00:00:00"/>
    <x v="0"/>
    <x v="6"/>
    <x v="0"/>
    <x v="2"/>
    <n v="4927"/>
    <x v="598"/>
    <n v="17609.150000000001"/>
    <x v="598"/>
    <x v="2"/>
    <n v="28.519788918205808"/>
    <s v="Low"/>
    <x v="8"/>
    <n v="2027"/>
  </r>
  <r>
    <s v="ORD0600"/>
    <d v="2027-02-02T00:00:00"/>
    <x v="3"/>
    <x v="6"/>
    <x v="4"/>
    <x v="1"/>
    <n v="35604"/>
    <x v="599"/>
    <n v="193196.3"/>
    <x v="599"/>
    <x v="2"/>
    <n v="39.708303686227516"/>
    <s v="High"/>
    <x v="8"/>
    <n v="2027"/>
  </r>
  <r>
    <s v="ORD0601"/>
    <d v="2027-02-03T00:00:00"/>
    <x v="0"/>
    <x v="7"/>
    <x v="5"/>
    <x v="6"/>
    <n v="5482"/>
    <x v="600"/>
    <n v="25207.29"/>
    <x v="600"/>
    <x v="2"/>
    <n v="23.363462240058372"/>
    <s v="Low"/>
    <x v="8"/>
    <n v="2027"/>
  </r>
  <r>
    <s v="ORD0602"/>
    <d v="2027-02-04T00:00:00"/>
    <x v="0"/>
    <x v="7"/>
    <x v="2"/>
    <x v="4"/>
    <n v="18134"/>
    <x v="601"/>
    <n v="118747.84"/>
    <x v="601"/>
    <x v="1"/>
    <n v="34.516466306385794"/>
    <s v="Medium"/>
    <x v="8"/>
    <n v="2027"/>
  </r>
  <r>
    <s v="ORD0603"/>
    <d v="2027-02-05T00:00:00"/>
    <x v="0"/>
    <x v="6"/>
    <x v="1"/>
    <x v="3"/>
    <n v="17893"/>
    <x v="602"/>
    <n v="47383.07"/>
    <x v="602"/>
    <x v="2"/>
    <n v="33.796638350192815"/>
    <s v="Low"/>
    <x v="8"/>
    <n v="2027"/>
  </r>
  <r>
    <s v="ORD0604"/>
    <d v="2027-02-06T00:00:00"/>
    <x v="2"/>
    <x v="1"/>
    <x v="0"/>
    <x v="8"/>
    <n v="5643"/>
    <x v="603"/>
    <n v="9059.76"/>
    <x v="603"/>
    <x v="0"/>
    <n v="19.725677830940988"/>
    <s v="Low"/>
    <x v="8"/>
    <n v="2027"/>
  </r>
  <r>
    <s v="ORD0605"/>
    <d v="2027-02-07T00:00:00"/>
    <x v="3"/>
    <x v="7"/>
    <x v="4"/>
    <x v="4"/>
    <n v="21171"/>
    <x v="604"/>
    <n v="158296.01"/>
    <x v="604"/>
    <x v="1"/>
    <n v="25.229790751499692"/>
    <s v="High"/>
    <x v="8"/>
    <n v="2027"/>
  </r>
  <r>
    <s v="ORD0606"/>
    <d v="2027-02-08T00:00:00"/>
    <x v="0"/>
    <x v="1"/>
    <x v="4"/>
    <x v="5"/>
    <n v="15055"/>
    <x v="605"/>
    <n v="86947.98"/>
    <x v="605"/>
    <x v="3"/>
    <n v="17.494918631683827"/>
    <s v="Medium"/>
    <x v="8"/>
    <n v="2027"/>
  </r>
  <r>
    <s v="ORD0607"/>
    <d v="2027-02-09T00:00:00"/>
    <x v="0"/>
    <x v="7"/>
    <x v="3"/>
    <x v="0"/>
    <n v="33430"/>
    <x v="606"/>
    <n v="23540.959999999999"/>
    <x v="606"/>
    <x v="0"/>
    <n v="29.581334131020043"/>
    <s v="Low"/>
    <x v="8"/>
    <n v="2027"/>
  </r>
  <r>
    <s v="ORD0608"/>
    <d v="2027-02-10T00:00:00"/>
    <x v="1"/>
    <x v="6"/>
    <x v="3"/>
    <x v="7"/>
    <n v="21186"/>
    <x v="607"/>
    <n v="136736.68"/>
    <x v="607"/>
    <x v="3"/>
    <n v="19.323680732559236"/>
    <s v="Medium"/>
    <x v="8"/>
    <n v="2027"/>
  </r>
  <r>
    <s v="ORD0609"/>
    <d v="2027-02-11T00:00:00"/>
    <x v="3"/>
    <x v="0"/>
    <x v="0"/>
    <x v="6"/>
    <n v="24197"/>
    <x v="608"/>
    <n v="113798.5"/>
    <x v="608"/>
    <x v="2"/>
    <n v="21.616660467551075"/>
    <s v="Medium"/>
    <x v="8"/>
    <n v="2027"/>
  </r>
  <r>
    <s v="ORD0610"/>
    <d v="2027-02-12T00:00:00"/>
    <x v="0"/>
    <x v="7"/>
    <x v="4"/>
    <x v="7"/>
    <n v="40679"/>
    <x v="609"/>
    <n v="228755.57"/>
    <x v="609"/>
    <x v="3"/>
    <n v="29.707106246466235"/>
    <s v="High"/>
    <x v="8"/>
    <n v="2027"/>
  </r>
  <r>
    <s v="ORD0611"/>
    <d v="2027-02-13T00:00:00"/>
    <x v="3"/>
    <x v="7"/>
    <x v="5"/>
    <x v="6"/>
    <n v="24425"/>
    <x v="610"/>
    <n v="125490.45"/>
    <x v="610"/>
    <x v="1"/>
    <n v="14.37021494370522"/>
    <s v="Medium"/>
    <x v="8"/>
    <n v="2027"/>
  </r>
  <r>
    <s v="ORD0612"/>
    <d v="2027-02-14T00:00:00"/>
    <x v="1"/>
    <x v="5"/>
    <x v="2"/>
    <x v="4"/>
    <n v="45458"/>
    <x v="611"/>
    <n v="303918.56"/>
    <x v="611"/>
    <x v="1"/>
    <n v="33.142997932157158"/>
    <s v="High"/>
    <x v="8"/>
    <n v="2027"/>
  </r>
  <r>
    <s v="ORD0613"/>
    <d v="2027-02-15T00:00:00"/>
    <x v="0"/>
    <x v="7"/>
    <x v="5"/>
    <x v="5"/>
    <n v="13349"/>
    <x v="612"/>
    <n v="60154.22"/>
    <x v="612"/>
    <x v="0"/>
    <n v="35.624690988088993"/>
    <s v="Low"/>
    <x v="8"/>
    <n v="2027"/>
  </r>
  <r>
    <s v="ORD0614"/>
    <d v="2027-02-16T00:00:00"/>
    <x v="3"/>
    <x v="7"/>
    <x v="5"/>
    <x v="7"/>
    <n v="9312"/>
    <x v="613"/>
    <n v="66947.210000000006"/>
    <x v="613"/>
    <x v="2"/>
    <n v="10.133148088487973"/>
    <s v="Low"/>
    <x v="8"/>
    <n v="2027"/>
  </r>
  <r>
    <s v="ORD0615"/>
    <d v="2027-02-17T00:00:00"/>
    <x v="0"/>
    <x v="1"/>
    <x v="3"/>
    <x v="4"/>
    <n v="3626"/>
    <x v="614"/>
    <n v="26089.82"/>
    <x v="614"/>
    <x v="1"/>
    <n v="28.04793160507446"/>
    <s v="Low"/>
    <x v="8"/>
    <n v="2027"/>
  </r>
  <r>
    <s v="ORD0616"/>
    <d v="2027-02-18T00:00:00"/>
    <x v="3"/>
    <x v="4"/>
    <x v="5"/>
    <x v="8"/>
    <n v="29981"/>
    <x v="615"/>
    <n v="49371.39"/>
    <x v="615"/>
    <x v="2"/>
    <n v="17.662202728394654"/>
    <s v="Low"/>
    <x v="8"/>
    <n v="2027"/>
  </r>
  <r>
    <s v="ORD0617"/>
    <d v="2027-02-19T00:00:00"/>
    <x v="1"/>
    <x v="4"/>
    <x v="3"/>
    <x v="2"/>
    <n v="23053"/>
    <x v="616"/>
    <n v="69844.899999999994"/>
    <x v="616"/>
    <x v="1"/>
    <n v="39.404936450787318"/>
    <s v="Medium"/>
    <x v="8"/>
    <n v="2027"/>
  </r>
  <r>
    <s v="ORD0618"/>
    <d v="2027-02-20T00:00:00"/>
    <x v="3"/>
    <x v="4"/>
    <x v="3"/>
    <x v="1"/>
    <n v="11938"/>
    <x v="617"/>
    <n v="96032.94"/>
    <x v="617"/>
    <x v="2"/>
    <n v="10.618808287261965"/>
    <s v="Medium"/>
    <x v="8"/>
    <n v="2027"/>
  </r>
  <r>
    <s v="ORD0619"/>
    <d v="2027-02-21T00:00:00"/>
    <x v="1"/>
    <x v="2"/>
    <x v="3"/>
    <x v="7"/>
    <n v="48768"/>
    <x v="618"/>
    <n v="286396.53000000003"/>
    <x v="618"/>
    <x v="2"/>
    <n v="26.592096764271655"/>
    <s v="High"/>
    <x v="8"/>
    <n v="2027"/>
  </r>
  <r>
    <s v="ORD0620"/>
    <d v="2027-02-22T00:00:00"/>
    <x v="3"/>
    <x v="2"/>
    <x v="1"/>
    <x v="9"/>
    <n v="11482"/>
    <x v="619"/>
    <n v="27287.23"/>
    <x v="619"/>
    <x v="3"/>
    <n v="20.782587237995706"/>
    <s v="Low"/>
    <x v="8"/>
    <n v="2027"/>
  </r>
  <r>
    <s v="ORD0621"/>
    <d v="2027-02-23T00:00:00"/>
    <x v="3"/>
    <x v="5"/>
    <x v="0"/>
    <x v="9"/>
    <n v="23019"/>
    <x v="620"/>
    <n v="46162.21"/>
    <x v="620"/>
    <x v="2"/>
    <n v="33.153467425460128"/>
    <s v="Low"/>
    <x v="8"/>
    <n v="2027"/>
  </r>
  <r>
    <s v="ORD0622"/>
    <d v="2027-02-24T00:00:00"/>
    <x v="3"/>
    <x v="7"/>
    <x v="1"/>
    <x v="5"/>
    <n v="18276"/>
    <x v="621"/>
    <n v="110828.46"/>
    <x v="621"/>
    <x v="3"/>
    <n v="13.369243035362539"/>
    <s v="Medium"/>
    <x v="8"/>
    <n v="2027"/>
  </r>
  <r>
    <s v="ORD0623"/>
    <d v="2027-02-25T00:00:00"/>
    <x v="3"/>
    <x v="3"/>
    <x v="2"/>
    <x v="0"/>
    <n v="8694"/>
    <x v="622"/>
    <n v="7114.58"/>
    <x v="622"/>
    <x v="1"/>
    <n v="18.166781688520821"/>
    <s v="Low"/>
    <x v="8"/>
    <n v="2027"/>
  </r>
  <r>
    <s v="ORD0624"/>
    <d v="2027-02-26T00:00:00"/>
    <x v="2"/>
    <x v="1"/>
    <x v="5"/>
    <x v="8"/>
    <n v="6762"/>
    <x v="623"/>
    <n v="8373.2199999999993"/>
    <x v="623"/>
    <x v="0"/>
    <n v="38.086217095533861"/>
    <s v="Low"/>
    <x v="8"/>
    <n v="2027"/>
  </r>
  <r>
    <s v="ORD0625"/>
    <d v="2027-02-27T00:00:00"/>
    <x v="0"/>
    <x v="3"/>
    <x v="3"/>
    <x v="8"/>
    <n v="7311"/>
    <x v="624"/>
    <n v="9924.4699999999993"/>
    <x v="624"/>
    <x v="3"/>
    <n v="32.126453289563663"/>
    <s v="Low"/>
    <x v="8"/>
    <n v="2027"/>
  </r>
  <r>
    <s v="ORD0626"/>
    <d v="2027-02-28T00:00:00"/>
    <x v="0"/>
    <x v="0"/>
    <x v="2"/>
    <x v="3"/>
    <n v="48838"/>
    <x v="625"/>
    <n v="133865.46"/>
    <x v="625"/>
    <x v="1"/>
    <n v="31.474743027970025"/>
    <s v="Medium"/>
    <x v="8"/>
    <n v="2027"/>
  </r>
  <r>
    <s v="ORD0627"/>
    <d v="2027-03-01T00:00:00"/>
    <x v="2"/>
    <x v="5"/>
    <x v="0"/>
    <x v="6"/>
    <n v="21812"/>
    <x v="626"/>
    <n v="112454.69"/>
    <x v="626"/>
    <x v="3"/>
    <n v="14.072765755853048"/>
    <s v="Medium"/>
    <x v="9"/>
    <n v="2027"/>
  </r>
  <r>
    <s v="ORD0628"/>
    <d v="2027-03-02T00:00:00"/>
    <x v="2"/>
    <x v="2"/>
    <x v="1"/>
    <x v="1"/>
    <n v="12102"/>
    <x v="627"/>
    <n v="84656.44"/>
    <x v="627"/>
    <x v="2"/>
    <n v="22.275069318202686"/>
    <s v="Medium"/>
    <x v="9"/>
    <n v="2027"/>
  </r>
  <r>
    <s v="ORD0629"/>
    <d v="2027-03-03T00:00:00"/>
    <x v="2"/>
    <x v="5"/>
    <x v="5"/>
    <x v="1"/>
    <n v="15385"/>
    <x v="628"/>
    <n v="116506.16"/>
    <x v="628"/>
    <x v="2"/>
    <n v="15.858765753078396"/>
    <s v="Medium"/>
    <x v="9"/>
    <n v="2027"/>
  </r>
  <r>
    <s v="ORD0630"/>
    <d v="2027-03-04T00:00:00"/>
    <x v="0"/>
    <x v="4"/>
    <x v="4"/>
    <x v="9"/>
    <n v="20394"/>
    <x v="629"/>
    <n v="36902.949999999997"/>
    <x v="629"/>
    <x v="2"/>
    <n v="39.683321892059752"/>
    <s v="Low"/>
    <x v="9"/>
    <n v="2027"/>
  </r>
  <r>
    <s v="ORD0631"/>
    <d v="2027-03-05T00:00:00"/>
    <x v="2"/>
    <x v="5"/>
    <x v="3"/>
    <x v="0"/>
    <n v="45573"/>
    <x v="630"/>
    <n v="39950.5"/>
    <x v="630"/>
    <x v="0"/>
    <n v="12.337348868847783"/>
    <s v="Low"/>
    <x v="9"/>
    <n v="2027"/>
  </r>
  <r>
    <s v="ORD0632"/>
    <d v="2027-03-06T00:00:00"/>
    <x v="3"/>
    <x v="6"/>
    <x v="4"/>
    <x v="4"/>
    <n v="15652"/>
    <x v="631"/>
    <n v="131325.01"/>
    <x v="631"/>
    <x v="3"/>
    <n v="16.096978021978021"/>
    <s v="Medium"/>
    <x v="9"/>
    <n v="2027"/>
  </r>
  <r>
    <s v="ORD0633"/>
    <d v="2027-03-07T00:00:00"/>
    <x v="2"/>
    <x v="2"/>
    <x v="5"/>
    <x v="5"/>
    <n v="16877"/>
    <x v="632"/>
    <n v="76669.95"/>
    <x v="632"/>
    <x v="1"/>
    <n v="35.101913847247737"/>
    <s v="Medium"/>
    <x v="9"/>
    <n v="2027"/>
  </r>
  <r>
    <s v="ORD0634"/>
    <d v="2027-03-08T00:00:00"/>
    <x v="3"/>
    <x v="5"/>
    <x v="0"/>
    <x v="5"/>
    <n v="41481"/>
    <x v="633"/>
    <n v="195088.45"/>
    <x v="633"/>
    <x v="2"/>
    <n v="32.813146810760173"/>
    <s v="High"/>
    <x v="9"/>
    <n v="2027"/>
  </r>
  <r>
    <s v="ORD0635"/>
    <d v="2027-03-09T00:00:00"/>
    <x v="1"/>
    <x v="7"/>
    <x v="2"/>
    <x v="8"/>
    <n v="12454"/>
    <x v="634"/>
    <n v="15965.71"/>
    <x v="634"/>
    <x v="3"/>
    <n v="35.901276698249561"/>
    <s v="Low"/>
    <x v="9"/>
    <n v="2027"/>
  </r>
  <r>
    <s v="ORD0636"/>
    <d v="2027-03-10T00:00:00"/>
    <x v="1"/>
    <x v="0"/>
    <x v="1"/>
    <x v="4"/>
    <n v="32743"/>
    <x v="635"/>
    <n v="214904.37"/>
    <x v="635"/>
    <x v="0"/>
    <n v="34.366316464587854"/>
    <s v="High"/>
    <x v="9"/>
    <n v="2027"/>
  </r>
  <r>
    <s v="ORD0637"/>
    <d v="2027-03-11T00:00:00"/>
    <x v="0"/>
    <x v="7"/>
    <x v="0"/>
    <x v="9"/>
    <n v="7202"/>
    <x v="636"/>
    <n v="14792.21"/>
    <x v="636"/>
    <x v="0"/>
    <n v="31.536563917430342"/>
    <s v="Low"/>
    <x v="9"/>
    <n v="2027"/>
  </r>
  <r>
    <s v="ORD0638"/>
    <d v="2027-03-12T00:00:00"/>
    <x v="3"/>
    <x v="2"/>
    <x v="0"/>
    <x v="9"/>
    <n v="1465"/>
    <x v="637"/>
    <n v="3287.78"/>
    <x v="637"/>
    <x v="2"/>
    <n v="25.192718998862347"/>
    <s v="Low"/>
    <x v="9"/>
    <n v="2027"/>
  </r>
  <r>
    <s v="ORD0639"/>
    <d v="2027-03-13T00:00:00"/>
    <x v="3"/>
    <x v="3"/>
    <x v="4"/>
    <x v="7"/>
    <n v="46174"/>
    <x v="638"/>
    <n v="309338.99"/>
    <x v="638"/>
    <x v="1"/>
    <n v="16.257257872395723"/>
    <s v="High"/>
    <x v="9"/>
    <n v="2027"/>
  </r>
  <r>
    <s v="ORD0640"/>
    <d v="2027-03-14T00:00:00"/>
    <x v="0"/>
    <x v="6"/>
    <x v="4"/>
    <x v="5"/>
    <n v="5178"/>
    <x v="639"/>
    <n v="27654.16"/>
    <x v="639"/>
    <x v="2"/>
    <n v="23.704243226838827"/>
    <s v="Low"/>
    <x v="9"/>
    <n v="2027"/>
  </r>
  <r>
    <s v="ORD0641"/>
    <d v="2027-03-15T00:00:00"/>
    <x v="2"/>
    <x v="6"/>
    <x v="0"/>
    <x v="8"/>
    <n v="47337"/>
    <x v="640"/>
    <n v="63875.48"/>
    <x v="640"/>
    <x v="0"/>
    <n v="32.531127870376238"/>
    <s v="Low"/>
    <x v="9"/>
    <n v="2027"/>
  </r>
  <r>
    <s v="ORD0642"/>
    <d v="2027-03-16T00:00:00"/>
    <x v="0"/>
    <x v="7"/>
    <x v="5"/>
    <x v="8"/>
    <n v="34653"/>
    <x v="641"/>
    <n v="55431.1"/>
    <x v="641"/>
    <x v="3"/>
    <n v="20.019767408305196"/>
    <s v="Low"/>
    <x v="9"/>
    <n v="2027"/>
  </r>
  <r>
    <s v="ORD0643"/>
    <d v="2027-03-17T00:00:00"/>
    <x v="1"/>
    <x v="3"/>
    <x v="4"/>
    <x v="6"/>
    <n v="10894"/>
    <x v="642"/>
    <n v="51555.81"/>
    <x v="642"/>
    <x v="2"/>
    <n v="21.125068845235912"/>
    <s v="Low"/>
    <x v="9"/>
    <n v="2027"/>
  </r>
  <r>
    <s v="ORD0644"/>
    <d v="2027-03-18T00:00:00"/>
    <x v="1"/>
    <x v="6"/>
    <x v="1"/>
    <x v="2"/>
    <n v="13523"/>
    <x v="643"/>
    <n v="47880.07"/>
    <x v="643"/>
    <x v="0"/>
    <n v="29.18720698069955"/>
    <s v="Low"/>
    <x v="9"/>
    <n v="2027"/>
  </r>
  <r>
    <s v="ORD0645"/>
    <d v="2027-03-19T00:00:00"/>
    <x v="3"/>
    <x v="3"/>
    <x v="1"/>
    <x v="5"/>
    <n v="21767"/>
    <x v="644"/>
    <n v="92110.16"/>
    <x v="644"/>
    <x v="3"/>
    <n v="39.547965793566931"/>
    <s v="Medium"/>
    <x v="9"/>
    <n v="2027"/>
  </r>
  <r>
    <s v="ORD0646"/>
    <d v="2027-03-20T00:00:00"/>
    <x v="2"/>
    <x v="0"/>
    <x v="0"/>
    <x v="0"/>
    <n v="38581"/>
    <x v="645"/>
    <n v="32216.78"/>
    <x v="645"/>
    <x v="2"/>
    <n v="16.495736243228531"/>
    <s v="Low"/>
    <x v="9"/>
    <n v="2027"/>
  </r>
  <r>
    <s v="ORD0647"/>
    <d v="2027-03-21T00:00:00"/>
    <x v="3"/>
    <x v="1"/>
    <x v="2"/>
    <x v="9"/>
    <n v="33262"/>
    <x v="646"/>
    <n v="62607.78"/>
    <x v="646"/>
    <x v="0"/>
    <n v="37.257952017317059"/>
    <s v="Low"/>
    <x v="9"/>
    <n v="2027"/>
  </r>
  <r>
    <s v="ORD0648"/>
    <d v="2027-03-22T00:00:00"/>
    <x v="1"/>
    <x v="0"/>
    <x v="1"/>
    <x v="9"/>
    <n v="46462"/>
    <x v="647"/>
    <n v="106059.64"/>
    <x v="647"/>
    <x v="3"/>
    <n v="23.909402665977932"/>
    <s v="Medium"/>
    <x v="9"/>
    <n v="2027"/>
  </r>
  <r>
    <s v="ORD0649"/>
    <d v="2027-03-23T00:00:00"/>
    <x v="2"/>
    <x v="6"/>
    <x v="4"/>
    <x v="1"/>
    <n v="42747"/>
    <x v="648"/>
    <n v="318169.48"/>
    <x v="648"/>
    <x v="0"/>
    <n v="17.299074918837711"/>
    <s v="High"/>
    <x v="9"/>
    <n v="2027"/>
  </r>
  <r>
    <s v="ORD0650"/>
    <d v="2027-03-24T00:00:00"/>
    <x v="1"/>
    <x v="7"/>
    <x v="5"/>
    <x v="6"/>
    <n v="47974"/>
    <x v="649"/>
    <n v="184340.95"/>
    <x v="649"/>
    <x v="3"/>
    <n v="35.958036297438888"/>
    <s v="High"/>
    <x v="9"/>
    <n v="2027"/>
  </r>
  <r>
    <s v="ORD0651"/>
    <d v="2027-03-25T00:00:00"/>
    <x v="0"/>
    <x v="4"/>
    <x v="4"/>
    <x v="1"/>
    <n v="46181"/>
    <x v="650"/>
    <n v="310486.33"/>
    <x v="650"/>
    <x v="2"/>
    <n v="25.297241049108699"/>
    <s v="High"/>
    <x v="9"/>
    <n v="2027"/>
  </r>
  <r>
    <s v="ORD0652"/>
    <d v="2027-03-26T00:00:00"/>
    <x v="0"/>
    <x v="7"/>
    <x v="4"/>
    <x v="4"/>
    <n v="36841"/>
    <x v="651"/>
    <n v="238767.63"/>
    <x v="651"/>
    <x v="2"/>
    <n v="35.189698976683587"/>
    <s v="High"/>
    <x v="9"/>
    <n v="2027"/>
  </r>
  <r>
    <s v="ORD0653"/>
    <d v="2027-03-27T00:00:00"/>
    <x v="2"/>
    <x v="0"/>
    <x v="3"/>
    <x v="6"/>
    <n v="30258"/>
    <x v="652"/>
    <n v="108968.01"/>
    <x v="652"/>
    <x v="0"/>
    <n v="39.978402405975281"/>
    <s v="Medium"/>
    <x v="9"/>
    <n v="2027"/>
  </r>
  <r>
    <s v="ORD0654"/>
    <d v="2027-03-28T00:00:00"/>
    <x v="1"/>
    <x v="2"/>
    <x v="4"/>
    <x v="4"/>
    <n v="16149"/>
    <x v="653"/>
    <n v="112430.67"/>
    <x v="653"/>
    <x v="1"/>
    <n v="30.379175181125767"/>
    <s v="Medium"/>
    <x v="9"/>
    <n v="2027"/>
  </r>
  <r>
    <s v="ORD0655"/>
    <d v="2027-03-29T00:00:00"/>
    <x v="3"/>
    <x v="4"/>
    <x v="1"/>
    <x v="7"/>
    <n v="36640"/>
    <x v="654"/>
    <n v="189425.71"/>
    <x v="654"/>
    <x v="3"/>
    <n v="35.376054175764189"/>
    <s v="High"/>
    <x v="9"/>
    <n v="2027"/>
  </r>
  <r>
    <s v="ORD0656"/>
    <d v="2027-03-30T00:00:00"/>
    <x v="1"/>
    <x v="1"/>
    <x v="4"/>
    <x v="8"/>
    <n v="6808"/>
    <x v="655"/>
    <n v="10306.77"/>
    <x v="655"/>
    <x v="1"/>
    <n v="24.303980611045827"/>
    <s v="Low"/>
    <x v="9"/>
    <n v="2027"/>
  </r>
  <r>
    <s v="ORD0657"/>
    <d v="2027-03-31T00:00:00"/>
    <x v="1"/>
    <x v="1"/>
    <x v="0"/>
    <x v="3"/>
    <n v="7515"/>
    <x v="656"/>
    <n v="22413.07"/>
    <x v="656"/>
    <x v="3"/>
    <n v="25.43888888888889"/>
    <s v="Low"/>
    <x v="9"/>
    <n v="2027"/>
  </r>
  <r>
    <s v="ORD0658"/>
    <d v="2027-04-01T00:00:00"/>
    <x v="3"/>
    <x v="1"/>
    <x v="5"/>
    <x v="1"/>
    <n v="41392"/>
    <x v="657"/>
    <n v="301894.53000000003"/>
    <x v="657"/>
    <x v="2"/>
    <n v="18.960580144311301"/>
    <s v="High"/>
    <x v="10"/>
    <n v="2027"/>
  </r>
  <r>
    <s v="ORD0659"/>
    <d v="2027-04-02T00:00:00"/>
    <x v="0"/>
    <x v="7"/>
    <x v="3"/>
    <x v="8"/>
    <n v="1357"/>
    <x v="658"/>
    <n v="2385.7800000000002"/>
    <x v="658"/>
    <x v="0"/>
    <n v="12.09358879882093"/>
    <s v="Low"/>
    <x v="10"/>
    <n v="2027"/>
  </r>
  <r>
    <s v="ORD0660"/>
    <d v="2027-04-03T00:00:00"/>
    <x v="2"/>
    <x v="4"/>
    <x v="1"/>
    <x v="0"/>
    <n v="24153"/>
    <x v="659"/>
    <n v="18535.16"/>
    <x v="659"/>
    <x v="0"/>
    <n v="23.259388067734857"/>
    <s v="Low"/>
    <x v="10"/>
    <n v="2027"/>
  </r>
  <r>
    <s v="ORD0661"/>
    <d v="2027-04-04T00:00:00"/>
    <x v="3"/>
    <x v="3"/>
    <x v="4"/>
    <x v="1"/>
    <n v="3164"/>
    <x v="7"/>
    <n v="23358.58"/>
    <x v="660"/>
    <x v="1"/>
    <n v="17.970993117010817"/>
    <s v="Low"/>
    <x v="10"/>
    <n v="2027"/>
  </r>
  <r>
    <s v="ORD0662"/>
    <d v="2027-04-05T00:00:00"/>
    <x v="2"/>
    <x v="6"/>
    <x v="0"/>
    <x v="8"/>
    <n v="48024"/>
    <x v="660"/>
    <n v="64285.45"/>
    <x v="661"/>
    <x v="1"/>
    <n v="33.069454855905377"/>
    <s v="Low"/>
    <x v="10"/>
    <n v="2027"/>
  </r>
  <r>
    <s v="ORD0663"/>
    <d v="2027-04-06T00:00:00"/>
    <x v="0"/>
    <x v="2"/>
    <x v="1"/>
    <x v="3"/>
    <n v="37857"/>
    <x v="661"/>
    <n v="119264.32000000001"/>
    <x v="662"/>
    <x v="0"/>
    <n v="21.240246189608264"/>
    <s v="Medium"/>
    <x v="10"/>
    <n v="2027"/>
  </r>
  <r>
    <s v="ORD0664"/>
    <d v="2027-04-07T00:00:00"/>
    <x v="2"/>
    <x v="3"/>
    <x v="3"/>
    <x v="6"/>
    <n v="44703"/>
    <x v="662"/>
    <n v="197841.94"/>
    <x v="663"/>
    <x v="1"/>
    <n v="26.238380720160464"/>
    <s v="High"/>
    <x v="10"/>
    <n v="2027"/>
  </r>
  <r>
    <s v="ORD0665"/>
    <d v="2027-04-08T00:00:00"/>
    <x v="0"/>
    <x v="7"/>
    <x v="3"/>
    <x v="5"/>
    <n v="33575"/>
    <x v="663"/>
    <n v="164812.19"/>
    <x v="664"/>
    <x v="2"/>
    <n v="29.874613339006491"/>
    <s v="High"/>
    <x v="10"/>
    <n v="2027"/>
  </r>
  <r>
    <s v="ORD0666"/>
    <d v="2027-04-09T00:00:00"/>
    <x v="2"/>
    <x v="4"/>
    <x v="3"/>
    <x v="6"/>
    <n v="24861"/>
    <x v="664"/>
    <n v="107951.88"/>
    <x v="665"/>
    <x v="1"/>
    <n v="27.629701138329111"/>
    <s v="Medium"/>
    <x v="10"/>
    <n v="2027"/>
  </r>
  <r>
    <s v="ORD0667"/>
    <d v="2027-04-10T00:00:00"/>
    <x v="3"/>
    <x v="4"/>
    <x v="3"/>
    <x v="3"/>
    <n v="25080"/>
    <x v="665"/>
    <n v="83236.75"/>
    <x v="666"/>
    <x v="3"/>
    <n v="17.02875797448166"/>
    <s v="Medium"/>
    <x v="10"/>
    <n v="2027"/>
  </r>
  <r>
    <s v="ORD0668"/>
    <d v="2027-04-11T00:00:00"/>
    <x v="3"/>
    <x v="1"/>
    <x v="5"/>
    <x v="0"/>
    <n v="48099"/>
    <x v="666"/>
    <n v="29359.58"/>
    <x v="667"/>
    <x v="1"/>
    <n v="38.960103120646991"/>
    <s v="Low"/>
    <x v="10"/>
    <n v="2027"/>
  </r>
  <r>
    <s v="ORD0669"/>
    <d v="2027-04-12T00:00:00"/>
    <x v="3"/>
    <x v="1"/>
    <x v="0"/>
    <x v="2"/>
    <n v="15041"/>
    <x v="667"/>
    <n v="49969.72"/>
    <x v="668"/>
    <x v="2"/>
    <n v="33.555322119539923"/>
    <s v="Low"/>
    <x v="10"/>
    <n v="2027"/>
  </r>
  <r>
    <s v="ORD0670"/>
    <d v="2027-04-13T00:00:00"/>
    <x v="0"/>
    <x v="3"/>
    <x v="3"/>
    <x v="1"/>
    <n v="37899"/>
    <x v="668"/>
    <n v="299401.74"/>
    <x v="669"/>
    <x v="0"/>
    <n v="12.222327765904115"/>
    <s v="High"/>
    <x v="10"/>
    <n v="2027"/>
  </r>
  <r>
    <s v="ORD0671"/>
    <d v="2027-04-14T00:00:00"/>
    <x v="0"/>
    <x v="6"/>
    <x v="4"/>
    <x v="9"/>
    <n v="9570"/>
    <x v="669"/>
    <n v="19508.34"/>
    <x v="670"/>
    <x v="2"/>
    <n v="32.050365726227795"/>
    <s v="Low"/>
    <x v="10"/>
    <n v="2027"/>
  </r>
  <r>
    <s v="ORD0672"/>
    <d v="2027-04-15T00:00:00"/>
    <x v="0"/>
    <x v="3"/>
    <x v="0"/>
    <x v="4"/>
    <n v="26701"/>
    <x v="670"/>
    <n v="205789.81"/>
    <x v="671"/>
    <x v="2"/>
    <n v="22.928051383843304"/>
    <s v="High"/>
    <x v="10"/>
    <n v="2027"/>
  </r>
  <r>
    <s v="ORD0673"/>
    <d v="2027-04-16T00:00:00"/>
    <x v="1"/>
    <x v="5"/>
    <x v="2"/>
    <x v="7"/>
    <n v="45693"/>
    <x v="671"/>
    <n v="296402.95"/>
    <x v="672"/>
    <x v="0"/>
    <n v="18.914562952749876"/>
    <s v="High"/>
    <x v="10"/>
    <n v="2027"/>
  </r>
  <r>
    <s v="ORD0674"/>
    <d v="2027-04-17T00:00:00"/>
    <x v="3"/>
    <x v="4"/>
    <x v="5"/>
    <x v="8"/>
    <n v="4164"/>
    <x v="672"/>
    <n v="7300"/>
    <x v="673"/>
    <x v="3"/>
    <n v="12.343900096061478"/>
    <s v="Low"/>
    <x v="10"/>
    <n v="2027"/>
  </r>
  <r>
    <s v="ORD0675"/>
    <d v="2027-04-18T00:00:00"/>
    <x v="1"/>
    <x v="2"/>
    <x v="0"/>
    <x v="3"/>
    <n v="49499"/>
    <x v="673"/>
    <n v="157571.9"/>
    <x v="674"/>
    <x v="0"/>
    <n v="20.416624578274309"/>
    <s v="Medium"/>
    <x v="10"/>
    <n v="2027"/>
  </r>
  <r>
    <s v="ORD0676"/>
    <d v="2027-04-19T00:00:00"/>
    <x v="0"/>
    <x v="4"/>
    <x v="3"/>
    <x v="0"/>
    <n v="21426"/>
    <x v="674"/>
    <n v="16326.16"/>
    <x v="675"/>
    <x v="1"/>
    <n v="23.802109586483713"/>
    <s v="Low"/>
    <x v="10"/>
    <n v="2027"/>
  </r>
  <r>
    <s v="ORD0677"/>
    <d v="2027-04-20T00:00:00"/>
    <x v="1"/>
    <x v="6"/>
    <x v="0"/>
    <x v="5"/>
    <n v="29703"/>
    <x v="675"/>
    <n v="171711.99"/>
    <x v="676"/>
    <x v="3"/>
    <n v="17.414792156636416"/>
    <s v="High"/>
    <x v="10"/>
    <n v="2027"/>
  </r>
  <r>
    <s v="ORD0678"/>
    <d v="2027-04-21T00:00:00"/>
    <x v="2"/>
    <x v="1"/>
    <x v="5"/>
    <x v="9"/>
    <n v="9163"/>
    <x v="676"/>
    <n v="19265.68"/>
    <x v="677"/>
    <x v="3"/>
    <n v="29.914947797300741"/>
    <s v="Low"/>
    <x v="10"/>
    <n v="2027"/>
  </r>
  <r>
    <s v="ORD0679"/>
    <d v="2027-04-22T00:00:00"/>
    <x v="0"/>
    <x v="0"/>
    <x v="0"/>
    <x v="5"/>
    <n v="33387"/>
    <x v="677"/>
    <n v="170688.74"/>
    <x v="678"/>
    <x v="3"/>
    <n v="26.965268774416046"/>
    <s v="High"/>
    <x v="10"/>
    <n v="2027"/>
  </r>
  <r>
    <s v="ORD0680"/>
    <d v="2027-04-23T00:00:00"/>
    <x v="0"/>
    <x v="6"/>
    <x v="2"/>
    <x v="7"/>
    <n v="26407"/>
    <x v="678"/>
    <n v="168091.02"/>
    <x v="679"/>
    <x v="1"/>
    <n v="20.432546294543116"/>
    <s v="High"/>
    <x v="10"/>
    <n v="2027"/>
  </r>
  <r>
    <s v="ORD0681"/>
    <d v="2027-04-24T00:00:00"/>
    <x v="1"/>
    <x v="3"/>
    <x v="4"/>
    <x v="5"/>
    <n v="21695"/>
    <x v="679"/>
    <n v="122315.32"/>
    <x v="680"/>
    <x v="3"/>
    <n v="19.457860599874888"/>
    <s v="Medium"/>
    <x v="10"/>
    <n v="2027"/>
  </r>
  <r>
    <s v="ORD0682"/>
    <d v="2027-04-25T00:00:00"/>
    <x v="1"/>
    <x v="5"/>
    <x v="4"/>
    <x v="6"/>
    <n v="12983"/>
    <x v="680"/>
    <n v="54234.26"/>
    <x v="681"/>
    <x v="1"/>
    <n v="30.377853089938128"/>
    <s v="Low"/>
    <x v="10"/>
    <n v="2027"/>
  </r>
  <r>
    <s v="ORD0683"/>
    <d v="2027-04-26T00:00:00"/>
    <x v="1"/>
    <x v="6"/>
    <x v="3"/>
    <x v="7"/>
    <n v="41340"/>
    <x v="681"/>
    <n v="212899.53"/>
    <x v="682"/>
    <x v="1"/>
    <n v="35.625444484760521"/>
    <s v="High"/>
    <x v="10"/>
    <n v="2027"/>
  </r>
  <r>
    <s v="ORD0684"/>
    <d v="2027-04-27T00:00:00"/>
    <x v="1"/>
    <x v="1"/>
    <x v="4"/>
    <x v="9"/>
    <n v="48242"/>
    <x v="682"/>
    <n v="123860.74"/>
    <x v="683"/>
    <x v="1"/>
    <n v="14.417077788372509"/>
    <s v="Medium"/>
    <x v="10"/>
    <n v="2027"/>
  </r>
  <r>
    <s v="ORD0685"/>
    <d v="2027-04-28T00:00:00"/>
    <x v="1"/>
    <x v="5"/>
    <x v="2"/>
    <x v="2"/>
    <n v="1400"/>
    <x v="683"/>
    <n v="4920.87"/>
    <x v="684"/>
    <x v="3"/>
    <n v="29.701857142857147"/>
    <s v="Low"/>
    <x v="10"/>
    <n v="2027"/>
  </r>
  <r>
    <s v="ORD0686"/>
    <d v="2027-04-29T00:00:00"/>
    <x v="0"/>
    <x v="6"/>
    <x v="0"/>
    <x v="6"/>
    <n v="14197"/>
    <x v="684"/>
    <n v="70019.94"/>
    <x v="685"/>
    <x v="2"/>
    <n v="17.79960555046841"/>
    <s v="Low"/>
    <x v="10"/>
    <n v="2027"/>
  </r>
  <r>
    <s v="ORD0687"/>
    <d v="2027-04-30T00:00:00"/>
    <x v="1"/>
    <x v="2"/>
    <x v="5"/>
    <x v="4"/>
    <n v="48336"/>
    <x v="685"/>
    <n v="433907.75"/>
    <x v="686"/>
    <x v="0"/>
    <n v="10.230935534591195"/>
    <s v="High"/>
    <x v="10"/>
    <n v="2027"/>
  </r>
  <r>
    <s v="ORD0688"/>
    <d v="2027-05-01T00:00:00"/>
    <x v="3"/>
    <x v="1"/>
    <x v="2"/>
    <x v="0"/>
    <n v="19113"/>
    <x v="686"/>
    <n v="12618.57"/>
    <x v="687"/>
    <x v="3"/>
    <n v="33.979124156333384"/>
    <s v="Low"/>
    <x v="11"/>
    <n v="2027"/>
  </r>
  <r>
    <s v="ORD0689"/>
    <d v="2027-05-02T00:00:00"/>
    <x v="3"/>
    <x v="3"/>
    <x v="0"/>
    <x v="8"/>
    <n v="25970"/>
    <x v="687"/>
    <n v="41453.93"/>
    <x v="688"/>
    <x v="0"/>
    <n v="20.188814016172508"/>
    <s v="Low"/>
    <x v="11"/>
    <n v="2027"/>
  </r>
  <r>
    <s v="ORD0690"/>
    <d v="2027-05-03T00:00:00"/>
    <x v="1"/>
    <x v="4"/>
    <x v="1"/>
    <x v="5"/>
    <n v="15649"/>
    <x v="688"/>
    <n v="97924.63"/>
    <x v="689"/>
    <x v="3"/>
    <n v="10.606218562573602"/>
    <s v="Medium"/>
    <x v="11"/>
    <n v="2027"/>
  </r>
  <r>
    <s v="ORD0691"/>
    <d v="2027-05-04T00:00:00"/>
    <x v="2"/>
    <x v="1"/>
    <x v="3"/>
    <x v="8"/>
    <n v="12717"/>
    <x v="689"/>
    <n v="16777.86"/>
    <x v="690"/>
    <x v="0"/>
    <n v="34.03373437131399"/>
    <s v="Low"/>
    <x v="11"/>
    <n v="2027"/>
  </r>
  <r>
    <s v="ORD0692"/>
    <d v="2027-05-05T00:00:00"/>
    <x v="0"/>
    <x v="1"/>
    <x v="3"/>
    <x v="2"/>
    <n v="22360"/>
    <x v="690"/>
    <n v="83512.350000000006"/>
    <x v="691"/>
    <x v="2"/>
    <n v="25.302012522361363"/>
    <s v="Medium"/>
    <x v="11"/>
    <n v="2027"/>
  </r>
  <r>
    <s v="ORD0693"/>
    <d v="2027-05-06T00:00:00"/>
    <x v="3"/>
    <x v="1"/>
    <x v="4"/>
    <x v="6"/>
    <n v="41475"/>
    <x v="691"/>
    <n v="171880.16"/>
    <x v="692"/>
    <x v="2"/>
    <n v="30.930214988949167"/>
    <s v="High"/>
    <x v="11"/>
    <n v="2027"/>
  </r>
  <r>
    <s v="ORD0694"/>
    <d v="2027-05-07T00:00:00"/>
    <x v="3"/>
    <x v="2"/>
    <x v="0"/>
    <x v="1"/>
    <n v="18862"/>
    <x v="692"/>
    <n v="113343.14"/>
    <x v="693"/>
    <x v="1"/>
    <n v="33.232519233261463"/>
    <s v="Medium"/>
    <x v="11"/>
    <n v="2027"/>
  </r>
  <r>
    <s v="ORD0695"/>
    <d v="2027-05-08T00:00:00"/>
    <x v="0"/>
    <x v="2"/>
    <x v="1"/>
    <x v="5"/>
    <n v="34625"/>
    <x v="693"/>
    <n v="215273.04"/>
    <x v="694"/>
    <x v="1"/>
    <n v="11.181829809179989"/>
    <s v="High"/>
    <x v="11"/>
    <n v="2027"/>
  </r>
  <r>
    <s v="ORD0696"/>
    <d v="2027-05-09T00:00:00"/>
    <x v="3"/>
    <x v="7"/>
    <x v="2"/>
    <x v="5"/>
    <n v="20972"/>
    <x v="694"/>
    <n v="128148.24"/>
    <x v="695"/>
    <x v="1"/>
    <n v="12.707937113430152"/>
    <s v="Medium"/>
    <x v="11"/>
    <n v="2027"/>
  </r>
  <r>
    <s v="ORD0697"/>
    <d v="2027-05-10T00:00:00"/>
    <x v="0"/>
    <x v="0"/>
    <x v="1"/>
    <x v="9"/>
    <n v="38578"/>
    <x v="695"/>
    <n v="88236.31"/>
    <x v="696"/>
    <x v="2"/>
    <n v="23.759387906751687"/>
    <s v="Medium"/>
    <x v="11"/>
    <n v="2027"/>
  </r>
  <r>
    <s v="ORD0698"/>
    <d v="2027-05-11T00:00:00"/>
    <x v="0"/>
    <x v="0"/>
    <x v="1"/>
    <x v="1"/>
    <n v="9363"/>
    <x v="696"/>
    <n v="61432.27"/>
    <x v="697"/>
    <x v="2"/>
    <n v="27.098069232321077"/>
    <s v="Low"/>
    <x v="11"/>
    <n v="2027"/>
  </r>
  <r>
    <s v="ORD0699"/>
    <d v="2027-05-12T00:00:00"/>
    <x v="3"/>
    <x v="0"/>
    <x v="3"/>
    <x v="1"/>
    <n v="47649"/>
    <x v="697"/>
    <n v="272535.40000000002"/>
    <x v="698"/>
    <x v="0"/>
    <n v="36.448380635247098"/>
    <s v="High"/>
    <x v="11"/>
    <n v="2027"/>
  </r>
  <r>
    <s v="ORD0700"/>
    <d v="2027-05-13T00:00:00"/>
    <x v="3"/>
    <x v="0"/>
    <x v="5"/>
    <x v="5"/>
    <n v="20380"/>
    <x v="698"/>
    <n v="104555.71"/>
    <x v="699"/>
    <x v="1"/>
    <n v="26.709862610402357"/>
    <s v="Medium"/>
    <x v="11"/>
    <n v="2027"/>
  </r>
  <r>
    <s v="ORD0701"/>
    <d v="2027-05-14T00:00:00"/>
    <x v="3"/>
    <x v="6"/>
    <x v="2"/>
    <x v="9"/>
    <n v="2216"/>
    <x v="699"/>
    <n v="5509.43"/>
    <x v="700"/>
    <x v="1"/>
    <n v="17.126504211793019"/>
    <s v="Low"/>
    <x v="11"/>
    <n v="2027"/>
  </r>
  <r>
    <s v="ORD0702"/>
    <d v="2027-05-15T00:00:00"/>
    <x v="2"/>
    <x v="0"/>
    <x v="1"/>
    <x v="0"/>
    <n v="24044"/>
    <x v="700"/>
    <n v="14999.67"/>
    <x v="701"/>
    <x v="3"/>
    <n v="37.615746132091168"/>
    <s v="Low"/>
    <x v="11"/>
    <n v="2027"/>
  </r>
  <r>
    <s v="ORD0703"/>
    <d v="2027-05-16T00:00:00"/>
    <x v="0"/>
    <x v="0"/>
    <x v="4"/>
    <x v="9"/>
    <n v="25892"/>
    <x v="701"/>
    <n v="58057.66"/>
    <x v="702"/>
    <x v="1"/>
    <n v="25.256630104536793"/>
    <s v="Low"/>
    <x v="11"/>
    <n v="2027"/>
  </r>
  <r>
    <s v="ORD0704"/>
    <d v="2027-05-17T00:00:00"/>
    <x v="2"/>
    <x v="6"/>
    <x v="0"/>
    <x v="5"/>
    <n v="1483"/>
    <x v="702"/>
    <n v="9110.68"/>
    <x v="703"/>
    <x v="1"/>
    <n v="12.236971390039495"/>
    <s v="Low"/>
    <x v="11"/>
    <n v="2027"/>
  </r>
  <r>
    <s v="ORD0705"/>
    <d v="2027-05-18T00:00:00"/>
    <x v="2"/>
    <x v="4"/>
    <x v="0"/>
    <x v="9"/>
    <n v="29288"/>
    <x v="703"/>
    <n v="75575.23"/>
    <x v="704"/>
    <x v="3"/>
    <n v="13.986126286078484"/>
    <s v="Low"/>
    <x v="11"/>
    <n v="2027"/>
  </r>
  <r>
    <s v="ORD0706"/>
    <d v="2027-05-19T00:00:00"/>
    <x v="2"/>
    <x v="4"/>
    <x v="5"/>
    <x v="5"/>
    <n v="3241"/>
    <x v="704"/>
    <n v="17749.830000000002"/>
    <x v="705"/>
    <x v="3"/>
    <n v="21.76211045973465"/>
    <s v="Low"/>
    <x v="11"/>
    <n v="2027"/>
  </r>
  <r>
    <s v="ORD0707"/>
    <d v="2027-05-20T00:00:00"/>
    <x v="1"/>
    <x v="3"/>
    <x v="1"/>
    <x v="4"/>
    <n v="39415"/>
    <x v="705"/>
    <n v="299888.17"/>
    <x v="706"/>
    <x v="3"/>
    <n v="23.915217556767729"/>
    <s v="High"/>
    <x v="11"/>
    <n v="2027"/>
  </r>
  <r>
    <s v="ORD0708"/>
    <d v="2027-05-21T00:00:00"/>
    <x v="1"/>
    <x v="2"/>
    <x v="0"/>
    <x v="3"/>
    <n v="34493"/>
    <x v="706"/>
    <n v="105046.46"/>
    <x v="707"/>
    <x v="0"/>
    <n v="23.863928913112805"/>
    <s v="Medium"/>
    <x v="11"/>
    <n v="2027"/>
  </r>
  <r>
    <s v="ORD0709"/>
    <d v="2027-05-22T00:00:00"/>
    <x v="3"/>
    <x v="7"/>
    <x v="4"/>
    <x v="7"/>
    <n v="26585"/>
    <x v="707"/>
    <n v="184036.1"/>
    <x v="708"/>
    <x v="1"/>
    <n v="13.468074101937184"/>
    <s v="High"/>
    <x v="11"/>
    <n v="2027"/>
  </r>
  <r>
    <s v="ORD0710"/>
    <d v="2027-05-23T00:00:00"/>
    <x v="0"/>
    <x v="7"/>
    <x v="4"/>
    <x v="4"/>
    <n v="4074"/>
    <x v="708"/>
    <n v="32876.61"/>
    <x v="709"/>
    <x v="3"/>
    <n v="19.301399116347572"/>
    <s v="Low"/>
    <x v="11"/>
    <n v="2027"/>
  </r>
  <r>
    <s v="ORD0711"/>
    <d v="2027-05-24T00:00:00"/>
    <x v="0"/>
    <x v="2"/>
    <x v="1"/>
    <x v="1"/>
    <n v="7916"/>
    <x v="709"/>
    <n v="46588.69"/>
    <x v="710"/>
    <x v="3"/>
    <n v="34.606858121385663"/>
    <s v="Low"/>
    <x v="11"/>
    <n v="2027"/>
  </r>
  <r>
    <s v="ORD0712"/>
    <d v="2027-05-25T00:00:00"/>
    <x v="0"/>
    <x v="7"/>
    <x v="5"/>
    <x v="0"/>
    <n v="12222"/>
    <x v="710"/>
    <n v="8996.67"/>
    <x v="711"/>
    <x v="0"/>
    <n v="26.389543446244478"/>
    <s v="Low"/>
    <x v="11"/>
    <n v="2027"/>
  </r>
  <r>
    <s v="ORD0713"/>
    <d v="2027-05-26T00:00:00"/>
    <x v="1"/>
    <x v="3"/>
    <x v="4"/>
    <x v="9"/>
    <n v="47579"/>
    <x v="711"/>
    <n v="117041.3"/>
    <x v="712"/>
    <x v="3"/>
    <n v="18.00212979115436"/>
    <s v="Medium"/>
    <x v="11"/>
    <n v="2027"/>
  </r>
  <r>
    <s v="ORD0714"/>
    <d v="2027-05-27T00:00:00"/>
    <x v="0"/>
    <x v="2"/>
    <x v="4"/>
    <x v="8"/>
    <n v="34828"/>
    <x v="712"/>
    <n v="56573.47"/>
    <x v="713"/>
    <x v="3"/>
    <n v="18.781626851958194"/>
    <s v="Low"/>
    <x v="11"/>
    <n v="2027"/>
  </r>
  <r>
    <s v="ORD0715"/>
    <d v="2027-05-28T00:00:00"/>
    <x v="0"/>
    <x v="0"/>
    <x v="2"/>
    <x v="6"/>
    <n v="37560"/>
    <x v="713"/>
    <n v="194123.22"/>
    <x v="714"/>
    <x v="1"/>
    <n v="13.860835995740148"/>
    <s v="High"/>
    <x v="11"/>
    <n v="2027"/>
  </r>
  <r>
    <s v="ORD0716"/>
    <d v="2027-05-29T00:00:00"/>
    <x v="2"/>
    <x v="5"/>
    <x v="1"/>
    <x v="0"/>
    <n v="27997"/>
    <x v="714"/>
    <n v="19385.650000000001"/>
    <x v="715"/>
    <x v="1"/>
    <n v="30.758116941100834"/>
    <s v="Low"/>
    <x v="11"/>
    <n v="2027"/>
  </r>
  <r>
    <s v="ORD0717"/>
    <d v="2027-05-30T00:00:00"/>
    <x v="3"/>
    <x v="1"/>
    <x v="2"/>
    <x v="3"/>
    <n v="731"/>
    <x v="715"/>
    <n v="2300.5100000000002"/>
    <x v="716"/>
    <x v="3"/>
    <n v="21.323187414500687"/>
    <s v="Low"/>
    <x v="11"/>
    <n v="2027"/>
  </r>
  <r>
    <s v="ORD0718"/>
    <d v="2027-05-31T00:00:00"/>
    <x v="2"/>
    <x v="6"/>
    <x v="5"/>
    <x v="1"/>
    <n v="876"/>
    <x v="716"/>
    <n v="6168.4"/>
    <x v="717"/>
    <x v="1"/>
    <n v="21.760527650938606"/>
    <s v="Low"/>
    <x v="11"/>
    <n v="2027"/>
  </r>
  <r>
    <s v="ORD0719"/>
    <d v="2027-06-01T00:00:00"/>
    <x v="1"/>
    <x v="1"/>
    <x v="1"/>
    <x v="7"/>
    <n v="30236"/>
    <x v="717"/>
    <n v="174896.01"/>
    <x v="718"/>
    <x v="1"/>
    <n v="27.695458228601673"/>
    <s v="High"/>
    <x v="0"/>
    <n v="2027"/>
  </r>
  <r>
    <s v="ORD0720"/>
    <d v="2027-06-02T00:00:00"/>
    <x v="0"/>
    <x v="1"/>
    <x v="4"/>
    <x v="4"/>
    <n v="41698"/>
    <x v="718"/>
    <n v="319933.99"/>
    <x v="719"/>
    <x v="1"/>
    <n v="23.273540697395557"/>
    <s v="High"/>
    <x v="0"/>
    <n v="2027"/>
  </r>
  <r>
    <s v="ORD0721"/>
    <d v="2027-06-03T00:00:00"/>
    <x v="1"/>
    <x v="5"/>
    <x v="0"/>
    <x v="6"/>
    <n v="2906"/>
    <x v="719"/>
    <n v="11222.02"/>
    <x v="720"/>
    <x v="2"/>
    <n v="35.63879330121587"/>
    <s v="Low"/>
    <x v="0"/>
    <n v="2027"/>
  </r>
  <r>
    <s v="ORD0722"/>
    <d v="2027-06-04T00:00:00"/>
    <x v="0"/>
    <x v="5"/>
    <x v="0"/>
    <x v="8"/>
    <n v="27825"/>
    <x v="720"/>
    <n v="49980.41"/>
    <x v="721"/>
    <x v="1"/>
    <n v="10.187942497753818"/>
    <s v="Low"/>
    <x v="0"/>
    <n v="2027"/>
  </r>
  <r>
    <s v="ORD0723"/>
    <d v="2027-06-05T00:00:00"/>
    <x v="1"/>
    <x v="5"/>
    <x v="1"/>
    <x v="4"/>
    <n v="24105"/>
    <x v="721"/>
    <n v="211989.96"/>
    <x v="722"/>
    <x v="2"/>
    <n v="12.055606720597387"/>
    <s v="High"/>
    <x v="0"/>
    <n v="2027"/>
  </r>
  <r>
    <s v="ORD0724"/>
    <d v="2027-06-06T00:00:00"/>
    <x v="1"/>
    <x v="5"/>
    <x v="5"/>
    <x v="8"/>
    <n v="28505"/>
    <x v="722"/>
    <n v="48629.120000000003"/>
    <x v="723"/>
    <x v="3"/>
    <n v="14.700719172075072"/>
    <s v="Low"/>
    <x v="0"/>
    <n v="2027"/>
  </r>
  <r>
    <s v="ORD0725"/>
    <d v="2027-06-07T00:00:00"/>
    <x v="0"/>
    <x v="6"/>
    <x v="0"/>
    <x v="2"/>
    <n v="22075"/>
    <x v="723"/>
    <n v="83677.03"/>
    <x v="724"/>
    <x v="0"/>
    <n v="24.188421291053228"/>
    <s v="Medium"/>
    <x v="0"/>
    <n v="2027"/>
  </r>
  <r>
    <s v="ORD0726"/>
    <d v="2027-06-08T00:00:00"/>
    <x v="3"/>
    <x v="2"/>
    <x v="3"/>
    <x v="1"/>
    <n v="6245"/>
    <x v="724"/>
    <n v="41878.28"/>
    <x v="725"/>
    <x v="2"/>
    <n v="25.490116537674584"/>
    <s v="Low"/>
    <x v="0"/>
    <n v="2027"/>
  </r>
  <r>
    <s v="ORD0727"/>
    <d v="2027-06-09T00:00:00"/>
    <x v="0"/>
    <x v="7"/>
    <x v="3"/>
    <x v="4"/>
    <n v="41344"/>
    <x v="725"/>
    <n v="291953.14"/>
    <x v="726"/>
    <x v="3"/>
    <n v="29.384399187306503"/>
    <s v="High"/>
    <x v="0"/>
    <n v="2027"/>
  </r>
  <r>
    <s v="ORD0728"/>
    <d v="2027-06-10T00:00:00"/>
    <x v="0"/>
    <x v="1"/>
    <x v="2"/>
    <x v="4"/>
    <n v="15751"/>
    <x v="726"/>
    <n v="127988.86"/>
    <x v="727"/>
    <x v="0"/>
    <n v="18.742390959304171"/>
    <s v="Medium"/>
    <x v="0"/>
    <n v="2027"/>
  </r>
  <r>
    <s v="ORD0729"/>
    <d v="2027-06-11T00:00:00"/>
    <x v="2"/>
    <x v="2"/>
    <x v="5"/>
    <x v="8"/>
    <n v="48830"/>
    <x v="727"/>
    <n v="83442.75"/>
    <x v="728"/>
    <x v="0"/>
    <n v="14.557904976448905"/>
    <s v="Low"/>
    <x v="0"/>
    <n v="2027"/>
  </r>
  <r>
    <s v="ORD0730"/>
    <d v="2027-06-12T00:00:00"/>
    <x v="0"/>
    <x v="5"/>
    <x v="4"/>
    <x v="1"/>
    <n v="42279"/>
    <x v="728"/>
    <n v="252545.68"/>
    <x v="729"/>
    <x v="2"/>
    <n v="33.629860897582461"/>
    <s v="High"/>
    <x v="0"/>
    <n v="2027"/>
  </r>
  <r>
    <s v="ORD0731"/>
    <d v="2027-06-13T00:00:00"/>
    <x v="1"/>
    <x v="3"/>
    <x v="4"/>
    <x v="2"/>
    <n v="33706"/>
    <x v="729"/>
    <n v="128925.13"/>
    <x v="730"/>
    <x v="2"/>
    <n v="23.500189877173206"/>
    <s v="Medium"/>
    <x v="0"/>
    <n v="2027"/>
  </r>
  <r>
    <s v="ORD0732"/>
    <d v="2027-06-14T00:00:00"/>
    <x v="0"/>
    <x v="6"/>
    <x v="5"/>
    <x v="4"/>
    <n v="40869"/>
    <x v="730"/>
    <n v="362930.55"/>
    <x v="731"/>
    <x v="2"/>
    <n v="11.196616017030021"/>
    <s v="High"/>
    <x v="0"/>
    <n v="2027"/>
  </r>
  <r>
    <s v="ORD0733"/>
    <d v="2027-06-15T00:00:00"/>
    <x v="0"/>
    <x v="7"/>
    <x v="1"/>
    <x v="7"/>
    <n v="31596"/>
    <x v="731"/>
    <n v="212116.92"/>
    <x v="732"/>
    <x v="1"/>
    <n v="16.082368021268515"/>
    <s v="High"/>
    <x v="0"/>
    <n v="2027"/>
  </r>
  <r>
    <s v="ORD0734"/>
    <d v="2027-06-16T00:00:00"/>
    <x v="2"/>
    <x v="1"/>
    <x v="5"/>
    <x v="1"/>
    <n v="22461"/>
    <x v="732"/>
    <n v="149335.76"/>
    <x v="733"/>
    <x v="2"/>
    <n v="26.125897234218321"/>
    <s v="High"/>
    <x v="0"/>
    <n v="2027"/>
  </r>
  <r>
    <s v="ORD0735"/>
    <d v="2027-06-17T00:00:00"/>
    <x v="0"/>
    <x v="4"/>
    <x v="1"/>
    <x v="6"/>
    <n v="36884"/>
    <x v="733"/>
    <n v="168360.48"/>
    <x v="734"/>
    <x v="2"/>
    <n v="23.923435636048147"/>
    <s v="High"/>
    <x v="0"/>
    <n v="2027"/>
  </r>
  <r>
    <s v="ORD0736"/>
    <d v="2027-06-18T00:00:00"/>
    <x v="2"/>
    <x v="0"/>
    <x v="2"/>
    <x v="2"/>
    <n v="2542"/>
    <x v="734"/>
    <n v="8919.19"/>
    <x v="735"/>
    <x v="3"/>
    <n v="29.825413060582218"/>
    <s v="Low"/>
    <x v="0"/>
    <n v="2027"/>
  </r>
  <r>
    <s v="ORD0737"/>
    <d v="2027-06-19T00:00:00"/>
    <x v="3"/>
    <x v="1"/>
    <x v="3"/>
    <x v="8"/>
    <n v="49752"/>
    <x v="735"/>
    <n v="68904.97"/>
    <x v="736"/>
    <x v="2"/>
    <n v="30.751557726322559"/>
    <s v="Low"/>
    <x v="0"/>
    <n v="2027"/>
  </r>
  <r>
    <s v="ORD0738"/>
    <d v="2027-06-20T00:00:00"/>
    <x v="3"/>
    <x v="6"/>
    <x v="0"/>
    <x v="7"/>
    <n v="16074"/>
    <x v="736"/>
    <n v="91490"/>
    <x v="737"/>
    <x v="2"/>
    <n v="28.852494711957199"/>
    <s v="Medium"/>
    <x v="0"/>
    <n v="2027"/>
  </r>
  <r>
    <s v="ORD0739"/>
    <d v="2027-06-21T00:00:00"/>
    <x v="1"/>
    <x v="7"/>
    <x v="0"/>
    <x v="6"/>
    <n v="2950"/>
    <x v="737"/>
    <n v="14750.07"/>
    <x v="738"/>
    <x v="0"/>
    <n v="16.666271186440675"/>
    <s v="Low"/>
    <x v="0"/>
    <n v="2027"/>
  </r>
  <r>
    <s v="ORD0740"/>
    <d v="2027-06-22T00:00:00"/>
    <x v="2"/>
    <x v="5"/>
    <x v="3"/>
    <x v="9"/>
    <n v="12965"/>
    <x v="738"/>
    <n v="27305.64"/>
    <x v="739"/>
    <x v="2"/>
    <n v="29.796529116853065"/>
    <s v="Low"/>
    <x v="0"/>
    <n v="2027"/>
  </r>
  <r>
    <s v="ORD0741"/>
    <d v="2027-06-23T00:00:00"/>
    <x v="0"/>
    <x v="1"/>
    <x v="0"/>
    <x v="1"/>
    <n v="44849"/>
    <x v="739"/>
    <n v="362395.39"/>
    <x v="740"/>
    <x v="3"/>
    <n v="10.218389608587831"/>
    <s v="High"/>
    <x v="0"/>
    <n v="2027"/>
  </r>
  <r>
    <s v="ORD0742"/>
    <d v="2027-06-24T00:00:00"/>
    <x v="1"/>
    <x v="3"/>
    <x v="1"/>
    <x v="1"/>
    <n v="8091"/>
    <x v="740"/>
    <n v="43781.18"/>
    <x v="741"/>
    <x v="2"/>
    <n v="39.876708002032437"/>
    <s v="Low"/>
    <x v="0"/>
    <n v="2027"/>
  </r>
  <r>
    <s v="ORD0743"/>
    <d v="2027-06-25T00:00:00"/>
    <x v="3"/>
    <x v="1"/>
    <x v="0"/>
    <x v="8"/>
    <n v="34616"/>
    <x v="741"/>
    <n v="57452.46"/>
    <x v="742"/>
    <x v="2"/>
    <n v="17.014588629535478"/>
    <s v="Low"/>
    <x v="0"/>
    <n v="2027"/>
  </r>
  <r>
    <s v="ORD0744"/>
    <d v="2027-06-26T00:00:00"/>
    <x v="3"/>
    <x v="4"/>
    <x v="2"/>
    <x v="6"/>
    <n v="13643"/>
    <x v="742"/>
    <n v="53843.22"/>
    <x v="743"/>
    <x v="3"/>
    <n v="34.223631166165795"/>
    <s v="Low"/>
    <x v="0"/>
    <n v="2027"/>
  </r>
  <r>
    <s v="ORD0745"/>
    <d v="2027-06-27T00:00:00"/>
    <x v="1"/>
    <x v="1"/>
    <x v="0"/>
    <x v="2"/>
    <n v="10285"/>
    <x v="743"/>
    <n v="33284.769999999997"/>
    <x v="744"/>
    <x v="0"/>
    <n v="35.275119105493438"/>
    <s v="Low"/>
    <x v="0"/>
    <n v="2027"/>
  </r>
  <r>
    <s v="ORD0746"/>
    <d v="2027-06-28T00:00:00"/>
    <x v="0"/>
    <x v="5"/>
    <x v="3"/>
    <x v="6"/>
    <n v="36503"/>
    <x v="744"/>
    <n v="152336.98000000001"/>
    <x v="745"/>
    <x v="1"/>
    <n v="30.445451971984038"/>
    <s v="High"/>
    <x v="0"/>
    <n v="2027"/>
  </r>
  <r>
    <s v="ORD0747"/>
    <d v="2027-06-29T00:00:00"/>
    <x v="2"/>
    <x v="1"/>
    <x v="0"/>
    <x v="2"/>
    <n v="40690"/>
    <x v="745"/>
    <n v="176528.06"/>
    <x v="746"/>
    <x v="1"/>
    <n v="13.23270582452691"/>
    <s v="High"/>
    <x v="0"/>
    <n v="2027"/>
  </r>
  <r>
    <s v="ORD0748"/>
    <d v="2027-06-30T00:00:00"/>
    <x v="1"/>
    <x v="2"/>
    <x v="5"/>
    <x v="0"/>
    <n v="7442"/>
    <x v="746"/>
    <n v="5321.62"/>
    <x v="747"/>
    <x v="3"/>
    <n v="28.492072023649555"/>
    <s v="Low"/>
    <x v="0"/>
    <n v="2027"/>
  </r>
  <r>
    <s v="ORD0749"/>
    <d v="2027-07-01T00:00:00"/>
    <x v="2"/>
    <x v="4"/>
    <x v="1"/>
    <x v="4"/>
    <n v="39346"/>
    <x v="747"/>
    <n v="310377.46000000002"/>
    <x v="748"/>
    <x v="2"/>
    <n v="21.115879631982921"/>
    <s v="High"/>
    <x v="1"/>
    <n v="2027"/>
  </r>
  <r>
    <s v="ORD0750"/>
    <d v="2027-07-02T00:00:00"/>
    <x v="2"/>
    <x v="0"/>
    <x v="2"/>
    <x v="1"/>
    <n v="5647"/>
    <x v="748"/>
    <n v="45339.43"/>
    <x v="749"/>
    <x v="0"/>
    <n v="10.78954410404738"/>
    <s v="Low"/>
    <x v="1"/>
    <n v="2027"/>
  </r>
  <r>
    <s v="ORD0751"/>
    <d v="2027-07-03T00:00:00"/>
    <x v="2"/>
    <x v="7"/>
    <x v="5"/>
    <x v="8"/>
    <n v="30357"/>
    <x v="749"/>
    <n v="42081.94"/>
    <x v="750"/>
    <x v="1"/>
    <n v="30.688243238791713"/>
    <s v="Low"/>
    <x v="1"/>
    <n v="2027"/>
  </r>
  <r>
    <s v="ORD0752"/>
    <d v="2027-07-04T00:00:00"/>
    <x v="2"/>
    <x v="0"/>
    <x v="2"/>
    <x v="4"/>
    <n v="17411"/>
    <x v="750"/>
    <n v="152147.5"/>
    <x v="751"/>
    <x v="2"/>
    <n v="12.614151972890703"/>
    <s v="Medium"/>
    <x v="1"/>
    <n v="2027"/>
  </r>
  <r>
    <s v="ORD0753"/>
    <d v="2027-07-05T00:00:00"/>
    <x v="1"/>
    <x v="4"/>
    <x v="5"/>
    <x v="7"/>
    <n v="2483"/>
    <x v="751"/>
    <n v="12307.92"/>
    <x v="752"/>
    <x v="3"/>
    <n v="38.039065646395485"/>
    <s v="Low"/>
    <x v="1"/>
    <n v="2027"/>
  </r>
  <r>
    <s v="ORD0754"/>
    <d v="2027-07-06T00:00:00"/>
    <x v="0"/>
    <x v="3"/>
    <x v="2"/>
    <x v="2"/>
    <n v="23346"/>
    <x v="752"/>
    <n v="91204.89"/>
    <x v="753"/>
    <x v="3"/>
    <n v="21.866795168337188"/>
    <s v="Medium"/>
    <x v="1"/>
    <n v="2027"/>
  </r>
  <r>
    <s v="ORD0755"/>
    <d v="2027-07-07T00:00:00"/>
    <x v="3"/>
    <x v="7"/>
    <x v="4"/>
    <x v="1"/>
    <n v="43062"/>
    <x v="753"/>
    <n v="240780.95"/>
    <x v="754"/>
    <x v="3"/>
    <n v="37.872279761996914"/>
    <s v="High"/>
    <x v="1"/>
    <n v="2027"/>
  </r>
  <r>
    <s v="ORD0756"/>
    <d v="2027-07-08T00:00:00"/>
    <x v="0"/>
    <x v="7"/>
    <x v="5"/>
    <x v="3"/>
    <n v="41189"/>
    <x v="754"/>
    <n v="110898.47"/>
    <x v="755"/>
    <x v="3"/>
    <n v="32.689267765665591"/>
    <s v="Medium"/>
    <x v="1"/>
    <n v="2027"/>
  </r>
  <r>
    <s v="ORD0757"/>
    <d v="2027-07-09T00:00:00"/>
    <x v="2"/>
    <x v="4"/>
    <x v="4"/>
    <x v="3"/>
    <n v="45985"/>
    <x v="755"/>
    <n v="142974.92000000001"/>
    <x v="756"/>
    <x v="1"/>
    <n v="22.270892682396433"/>
    <s v="Medium"/>
    <x v="1"/>
    <n v="2027"/>
  </r>
  <r>
    <s v="ORD0758"/>
    <d v="2027-07-10T00:00:00"/>
    <x v="2"/>
    <x v="3"/>
    <x v="1"/>
    <x v="8"/>
    <n v="48955"/>
    <x v="756"/>
    <n v="86088.25"/>
    <x v="757"/>
    <x v="3"/>
    <n v="12.074098662036564"/>
    <s v="Low"/>
    <x v="1"/>
    <n v="2027"/>
  </r>
  <r>
    <s v="ORD0759"/>
    <d v="2027-07-11T00:00:00"/>
    <x v="2"/>
    <x v="3"/>
    <x v="3"/>
    <x v="8"/>
    <n v="29677"/>
    <x v="757"/>
    <n v="38749.39"/>
    <x v="758"/>
    <x v="0"/>
    <n v="34.714779121878898"/>
    <s v="Low"/>
    <x v="1"/>
    <n v="2027"/>
  </r>
  <r>
    <s v="ORD0760"/>
    <d v="2027-07-12T00:00:00"/>
    <x v="1"/>
    <x v="3"/>
    <x v="3"/>
    <x v="5"/>
    <n v="21957"/>
    <x v="758"/>
    <n v="115011.2"/>
    <x v="759"/>
    <x v="1"/>
    <n v="25.171146201341589"/>
    <s v="Medium"/>
    <x v="1"/>
    <n v="2027"/>
  </r>
  <r>
    <s v="ORD0761"/>
    <d v="2027-07-13T00:00:00"/>
    <x v="2"/>
    <x v="5"/>
    <x v="3"/>
    <x v="0"/>
    <n v="10115"/>
    <x v="759"/>
    <n v="8074.44"/>
    <x v="760"/>
    <x v="3"/>
    <n v="20.173603559070685"/>
    <s v="Low"/>
    <x v="1"/>
    <n v="2027"/>
  </r>
  <r>
    <s v="ORD0762"/>
    <d v="2027-07-14T00:00:00"/>
    <x v="3"/>
    <x v="5"/>
    <x v="3"/>
    <x v="7"/>
    <n v="13323"/>
    <x v="760"/>
    <n v="70526.47"/>
    <x v="761"/>
    <x v="2"/>
    <n v="33.830152743376111"/>
    <s v="Medium"/>
    <x v="1"/>
    <n v="2027"/>
  </r>
  <r>
    <s v="ORD0763"/>
    <d v="2027-07-15T00:00:00"/>
    <x v="2"/>
    <x v="0"/>
    <x v="1"/>
    <x v="6"/>
    <n v="6351"/>
    <x v="761"/>
    <n v="29525.22"/>
    <x v="762"/>
    <x v="2"/>
    <n v="22.518186112423241"/>
    <s v="Low"/>
    <x v="1"/>
    <n v="2027"/>
  </r>
  <r>
    <s v="ORD0764"/>
    <d v="2027-07-16T00:00:00"/>
    <x v="3"/>
    <x v="3"/>
    <x v="4"/>
    <x v="1"/>
    <n v="3981"/>
    <x v="762"/>
    <n v="21506.46"/>
    <x v="763"/>
    <x v="2"/>
    <n v="39.974713221133726"/>
    <s v="Low"/>
    <x v="1"/>
    <n v="2027"/>
  </r>
  <r>
    <s v="ORD0765"/>
    <d v="2027-07-17T00:00:00"/>
    <x v="3"/>
    <x v="2"/>
    <x v="2"/>
    <x v="5"/>
    <n v="46520"/>
    <x v="763"/>
    <n v="253038.29"/>
    <x v="764"/>
    <x v="3"/>
    <n v="22.295083527822136"/>
    <s v="High"/>
    <x v="1"/>
    <n v="2027"/>
  </r>
  <r>
    <s v="ORD0766"/>
    <d v="2027-07-18T00:00:00"/>
    <x v="2"/>
    <x v="0"/>
    <x v="5"/>
    <x v="1"/>
    <n v="14342"/>
    <x v="764"/>
    <n v="103100.57"/>
    <x v="765"/>
    <x v="1"/>
    <n v="20.125373804986133"/>
    <s v="Medium"/>
    <x v="1"/>
    <n v="2027"/>
  </r>
  <r>
    <s v="ORD0767"/>
    <d v="2027-07-19T00:00:00"/>
    <x v="0"/>
    <x v="0"/>
    <x v="5"/>
    <x v="6"/>
    <n v="27843"/>
    <x v="765"/>
    <n v="107966.28"/>
    <x v="766"/>
    <x v="0"/>
    <n v="35.371978594260675"/>
    <s v="Medium"/>
    <x v="1"/>
    <n v="2027"/>
  </r>
  <r>
    <s v="ORD0768"/>
    <d v="2027-07-20T00:00:00"/>
    <x v="2"/>
    <x v="2"/>
    <x v="1"/>
    <x v="0"/>
    <n v="9936"/>
    <x v="766"/>
    <n v="8111.77"/>
    <x v="767"/>
    <x v="1"/>
    <n v="18.359802737520127"/>
    <s v="Low"/>
    <x v="1"/>
    <n v="2027"/>
  </r>
  <r>
    <s v="ORD0769"/>
    <d v="2027-07-21T00:00:00"/>
    <x v="2"/>
    <x v="0"/>
    <x v="2"/>
    <x v="5"/>
    <n v="30386"/>
    <x v="767"/>
    <n v="184641.23"/>
    <x v="768"/>
    <x v="3"/>
    <n v="13.192527573788681"/>
    <s v="High"/>
    <x v="1"/>
    <n v="2027"/>
  </r>
  <r>
    <s v="ORD0770"/>
    <d v="2027-07-22T00:00:00"/>
    <x v="0"/>
    <x v="0"/>
    <x v="5"/>
    <x v="1"/>
    <n v="29994"/>
    <x v="768"/>
    <n v="193123.26"/>
    <x v="769"/>
    <x v="3"/>
    <n v="28.458558378342335"/>
    <s v="High"/>
    <x v="1"/>
    <n v="2027"/>
  </r>
  <r>
    <s v="ORD0771"/>
    <d v="2027-07-23T00:00:00"/>
    <x v="0"/>
    <x v="5"/>
    <x v="0"/>
    <x v="4"/>
    <n v="33147"/>
    <x v="769"/>
    <n v="283089.03000000003"/>
    <x v="770"/>
    <x v="3"/>
    <n v="14.595881980269709"/>
    <s v="High"/>
    <x v="1"/>
    <n v="2027"/>
  </r>
  <r>
    <s v="ORD0772"/>
    <d v="2027-07-24T00:00:00"/>
    <x v="2"/>
    <x v="4"/>
    <x v="3"/>
    <x v="6"/>
    <n v="2692"/>
    <x v="770"/>
    <n v="14431.33"/>
    <x v="771"/>
    <x v="0"/>
    <n v="10.652984150569589"/>
    <s v="Low"/>
    <x v="1"/>
    <n v="2027"/>
  </r>
  <r>
    <s v="ORD0773"/>
    <d v="2027-07-25T00:00:00"/>
    <x v="3"/>
    <x v="7"/>
    <x v="5"/>
    <x v="8"/>
    <n v="9811"/>
    <x v="771"/>
    <n v="16071.51"/>
    <x v="772"/>
    <x v="0"/>
    <n v="18.094434818061359"/>
    <s v="Low"/>
    <x v="1"/>
    <n v="2027"/>
  </r>
  <r>
    <s v="ORD0774"/>
    <d v="2027-07-26T00:00:00"/>
    <x v="1"/>
    <x v="5"/>
    <x v="3"/>
    <x v="8"/>
    <n v="16571"/>
    <x v="772"/>
    <n v="24582.6"/>
    <x v="773"/>
    <x v="0"/>
    <n v="25.826443787339326"/>
    <s v="Low"/>
    <x v="1"/>
    <n v="2027"/>
  </r>
  <r>
    <s v="ORD0775"/>
    <d v="2027-07-27T00:00:00"/>
    <x v="2"/>
    <x v="4"/>
    <x v="3"/>
    <x v="0"/>
    <n v="31227"/>
    <x v="773"/>
    <n v="22989.64"/>
    <x v="774"/>
    <x v="3"/>
    <n v="26.378966919652868"/>
    <s v="Low"/>
    <x v="1"/>
    <n v="2027"/>
  </r>
  <r>
    <s v="ORD0776"/>
    <d v="2027-07-28T00:00:00"/>
    <x v="3"/>
    <x v="5"/>
    <x v="4"/>
    <x v="2"/>
    <n v="11477"/>
    <x v="774"/>
    <n v="35039.160000000003"/>
    <x v="775"/>
    <x v="0"/>
    <n v="38.940210856495597"/>
    <s v="Low"/>
    <x v="1"/>
    <n v="2027"/>
  </r>
  <r>
    <s v="ORD0777"/>
    <d v="2027-07-29T00:00:00"/>
    <x v="3"/>
    <x v="1"/>
    <x v="5"/>
    <x v="4"/>
    <n v="11580"/>
    <x v="775"/>
    <n v="89381.16"/>
    <x v="776"/>
    <x v="2"/>
    <n v="22.81419689119171"/>
    <s v="Medium"/>
    <x v="1"/>
    <n v="2027"/>
  </r>
  <r>
    <s v="ORD0778"/>
    <d v="2027-07-30T00:00:00"/>
    <x v="3"/>
    <x v="5"/>
    <x v="0"/>
    <x v="9"/>
    <n v="33634"/>
    <x v="776"/>
    <n v="62867.87"/>
    <x v="777"/>
    <x v="1"/>
    <n v="37.694128956809578"/>
    <s v="Medium"/>
    <x v="1"/>
    <n v="2027"/>
  </r>
  <r>
    <s v="ORD0779"/>
    <d v="2027-07-31T00:00:00"/>
    <x v="1"/>
    <x v="0"/>
    <x v="4"/>
    <x v="2"/>
    <n v="17339"/>
    <x v="777"/>
    <n v="52386.400000000001"/>
    <x v="778"/>
    <x v="1"/>
    <n v="39.573908529903683"/>
    <s v="Low"/>
    <x v="1"/>
    <n v="2027"/>
  </r>
  <r>
    <s v="ORD0780"/>
    <d v="2027-08-01T00:00:00"/>
    <x v="0"/>
    <x v="7"/>
    <x v="5"/>
    <x v="6"/>
    <n v="11994"/>
    <x v="778"/>
    <n v="48818.63"/>
    <x v="779"/>
    <x v="1"/>
    <n v="32.162428436440443"/>
    <s v="Low"/>
    <x v="2"/>
    <n v="2027"/>
  </r>
  <r>
    <s v="ORD0781"/>
    <d v="2027-08-02T00:00:00"/>
    <x v="0"/>
    <x v="7"/>
    <x v="0"/>
    <x v="6"/>
    <n v="6031"/>
    <x v="779"/>
    <n v="32212.91"/>
    <x v="780"/>
    <x v="3"/>
    <n v="10.97963300724037"/>
    <s v="Low"/>
    <x v="2"/>
    <n v="2027"/>
  </r>
  <r>
    <s v="ORD0782"/>
    <d v="2027-08-03T00:00:00"/>
    <x v="0"/>
    <x v="4"/>
    <x v="2"/>
    <x v="7"/>
    <n v="48079"/>
    <x v="780"/>
    <n v="304348.69"/>
    <x v="781"/>
    <x v="0"/>
    <n v="20.872758896815657"/>
    <s v="High"/>
    <x v="2"/>
    <n v="2027"/>
  </r>
  <r>
    <s v="ORD0783"/>
    <d v="2027-08-04T00:00:00"/>
    <x v="2"/>
    <x v="7"/>
    <x v="4"/>
    <x v="8"/>
    <n v="3942"/>
    <x v="716"/>
    <n v="5126.8100000000004"/>
    <x v="782"/>
    <x v="2"/>
    <n v="34.971968543886348"/>
    <s v="Low"/>
    <x v="2"/>
    <n v="2027"/>
  </r>
  <r>
    <s v="ORD0784"/>
    <d v="2027-08-05T00:00:00"/>
    <x v="2"/>
    <x v="7"/>
    <x v="1"/>
    <x v="1"/>
    <n v="15813"/>
    <x v="781"/>
    <n v="101605.83"/>
    <x v="783"/>
    <x v="2"/>
    <n v="28.60597820358776"/>
    <s v="Medium"/>
    <x v="2"/>
    <n v="2027"/>
  </r>
  <r>
    <s v="ORD0785"/>
    <d v="2027-08-06T00:00:00"/>
    <x v="2"/>
    <x v="2"/>
    <x v="3"/>
    <x v="5"/>
    <n v="1277"/>
    <x v="782"/>
    <n v="6137.85"/>
    <x v="784"/>
    <x v="2"/>
    <n v="31.336279225864196"/>
    <s v="Low"/>
    <x v="2"/>
    <n v="2027"/>
  </r>
  <r>
    <s v="ORD0786"/>
    <d v="2027-08-07T00:00:00"/>
    <x v="3"/>
    <x v="2"/>
    <x v="1"/>
    <x v="0"/>
    <n v="6880"/>
    <x v="783"/>
    <n v="6022.16"/>
    <x v="785"/>
    <x v="2"/>
    <n v="12.468604651162792"/>
    <s v="Low"/>
    <x v="2"/>
    <n v="2027"/>
  </r>
  <r>
    <s v="ORD0787"/>
    <d v="2027-08-08T00:00:00"/>
    <x v="2"/>
    <x v="7"/>
    <x v="4"/>
    <x v="2"/>
    <n v="6940"/>
    <x v="784"/>
    <n v="23478.13"/>
    <x v="786"/>
    <x v="1"/>
    <n v="32.33968299711816"/>
    <s v="Low"/>
    <x v="2"/>
    <n v="2027"/>
  </r>
  <r>
    <s v="ORD0788"/>
    <d v="2027-08-09T00:00:00"/>
    <x v="0"/>
    <x v="4"/>
    <x v="3"/>
    <x v="3"/>
    <n v="34575"/>
    <x v="785"/>
    <n v="96979"/>
    <x v="787"/>
    <x v="0"/>
    <n v="29.877801879971077"/>
    <s v="Medium"/>
    <x v="2"/>
    <n v="2027"/>
  </r>
  <r>
    <s v="ORD0789"/>
    <d v="2027-08-10T00:00:00"/>
    <x v="1"/>
    <x v="7"/>
    <x v="0"/>
    <x v="8"/>
    <n v="1283"/>
    <x v="786"/>
    <n v="1856.18"/>
    <x v="788"/>
    <x v="2"/>
    <n v="27.662509742790338"/>
    <s v="Low"/>
    <x v="2"/>
    <n v="2027"/>
  </r>
  <r>
    <s v="ORD0790"/>
    <d v="2027-08-11T00:00:00"/>
    <x v="1"/>
    <x v="3"/>
    <x v="1"/>
    <x v="2"/>
    <n v="17008"/>
    <x v="787"/>
    <n v="55949.85"/>
    <x v="789"/>
    <x v="0"/>
    <n v="34.207608184383822"/>
    <s v="Low"/>
    <x v="2"/>
    <n v="2027"/>
  </r>
  <r>
    <s v="ORD0791"/>
    <d v="2027-08-12T00:00:00"/>
    <x v="1"/>
    <x v="3"/>
    <x v="1"/>
    <x v="3"/>
    <n v="39781"/>
    <x v="788"/>
    <n v="125934.69"/>
    <x v="790"/>
    <x v="1"/>
    <n v="20.857513637163468"/>
    <s v="Medium"/>
    <x v="2"/>
    <n v="2027"/>
  </r>
  <r>
    <s v="ORD0792"/>
    <d v="2027-08-13T00:00:00"/>
    <x v="0"/>
    <x v="5"/>
    <x v="1"/>
    <x v="4"/>
    <n v="12608"/>
    <x v="789"/>
    <n v="109538.37"/>
    <x v="791"/>
    <x v="2"/>
    <n v="13.119947652284264"/>
    <s v="Medium"/>
    <x v="2"/>
    <n v="2027"/>
  </r>
  <r>
    <s v="ORD0793"/>
    <d v="2027-08-14T00:00:00"/>
    <x v="3"/>
    <x v="2"/>
    <x v="1"/>
    <x v="8"/>
    <n v="42363"/>
    <x v="790"/>
    <n v="62361.14"/>
    <x v="792"/>
    <x v="2"/>
    <n v="26.396690508226516"/>
    <s v="Low"/>
    <x v="2"/>
    <n v="2027"/>
  </r>
  <r>
    <s v="ORD0794"/>
    <d v="2027-08-15T00:00:00"/>
    <x v="2"/>
    <x v="2"/>
    <x v="2"/>
    <x v="8"/>
    <n v="18672"/>
    <x v="791"/>
    <n v="31112.47"/>
    <x v="793"/>
    <x v="2"/>
    <n v="16.68683054841474"/>
    <s v="Low"/>
    <x v="2"/>
    <n v="2027"/>
  </r>
  <r>
    <s v="ORD0795"/>
    <d v="2027-08-16T00:00:00"/>
    <x v="2"/>
    <x v="6"/>
    <x v="4"/>
    <x v="2"/>
    <n v="12160"/>
    <x v="792"/>
    <n v="44516.08"/>
    <x v="794"/>
    <x v="3"/>
    <n v="26.782763157894735"/>
    <s v="Low"/>
    <x v="2"/>
    <n v="2027"/>
  </r>
  <r>
    <s v="ORD0796"/>
    <d v="2027-08-17T00:00:00"/>
    <x v="2"/>
    <x v="6"/>
    <x v="1"/>
    <x v="7"/>
    <n v="7606"/>
    <x v="793"/>
    <n v="39135.11"/>
    <x v="795"/>
    <x v="0"/>
    <n v="35.683818695766497"/>
    <s v="Low"/>
    <x v="2"/>
    <n v="2027"/>
  </r>
  <r>
    <s v="ORD0797"/>
    <d v="2027-08-18T00:00:00"/>
    <x v="1"/>
    <x v="5"/>
    <x v="1"/>
    <x v="2"/>
    <n v="7269"/>
    <x v="794"/>
    <n v="22187.11"/>
    <x v="796"/>
    <x v="3"/>
    <n v="38.954161507772731"/>
    <s v="Low"/>
    <x v="2"/>
    <n v="2027"/>
  </r>
  <r>
    <s v="ORD0798"/>
    <d v="2027-08-19T00:00:00"/>
    <x v="1"/>
    <x v="2"/>
    <x v="5"/>
    <x v="9"/>
    <n v="43286"/>
    <x v="795"/>
    <n v="102860.6"/>
    <x v="797"/>
    <x v="2"/>
    <n v="20.789939780375487"/>
    <s v="Medium"/>
    <x v="2"/>
    <n v="2027"/>
  </r>
  <r>
    <s v="ORD0799"/>
    <d v="2027-08-20T00:00:00"/>
    <x v="2"/>
    <x v="7"/>
    <x v="1"/>
    <x v="6"/>
    <n v="26146"/>
    <x v="796"/>
    <n v="121169.78"/>
    <x v="798"/>
    <x v="3"/>
    <n v="22.760791963079122"/>
    <s v="Medium"/>
    <x v="2"/>
    <n v="2027"/>
  </r>
  <r>
    <s v="ORD0800"/>
    <d v="2027-08-21T00:00:00"/>
    <x v="2"/>
    <x v="7"/>
    <x v="1"/>
    <x v="8"/>
    <n v="35897"/>
    <x v="797"/>
    <n v="47940.73"/>
    <x v="799"/>
    <x v="0"/>
    <n v="33.224600941582864"/>
    <s v="Low"/>
    <x v="2"/>
    <n v="2027"/>
  </r>
  <r>
    <s v="ORD0801"/>
    <d v="2027-08-22T00:00:00"/>
    <x v="2"/>
    <x v="1"/>
    <x v="3"/>
    <x v="6"/>
    <n v="22352"/>
    <x v="798"/>
    <n v="107899.91"/>
    <x v="800"/>
    <x v="0"/>
    <n v="19.54492513719876"/>
    <s v="Medium"/>
    <x v="2"/>
    <n v="2027"/>
  </r>
  <r>
    <s v="ORD0802"/>
    <d v="2027-08-23T00:00:00"/>
    <x v="3"/>
    <x v="6"/>
    <x v="3"/>
    <x v="6"/>
    <n v="5772"/>
    <x v="799"/>
    <n v="29518.74"/>
    <x v="801"/>
    <x v="1"/>
    <n v="14.764553014553014"/>
    <s v="Low"/>
    <x v="2"/>
    <n v="2027"/>
  </r>
  <r>
    <s v="ORD0803"/>
    <d v="2027-08-24T00:00:00"/>
    <x v="2"/>
    <x v="3"/>
    <x v="0"/>
    <x v="5"/>
    <n v="43801"/>
    <x v="800"/>
    <n v="201533.07"/>
    <x v="802"/>
    <x v="2"/>
    <n v="34.269905775145382"/>
    <s v="High"/>
    <x v="2"/>
    <n v="2027"/>
  </r>
  <r>
    <s v="ORD0804"/>
    <d v="2027-08-25T00:00:00"/>
    <x v="1"/>
    <x v="6"/>
    <x v="0"/>
    <x v="7"/>
    <n v="48690"/>
    <x v="801"/>
    <n v="255852.06"/>
    <x v="803"/>
    <x v="0"/>
    <n v="34.316065927295128"/>
    <s v="High"/>
    <x v="2"/>
    <n v="2027"/>
  </r>
  <r>
    <s v="ORD0805"/>
    <d v="2027-08-26T00:00:00"/>
    <x v="3"/>
    <x v="7"/>
    <x v="2"/>
    <x v="7"/>
    <n v="25978"/>
    <x v="802"/>
    <n v="128621.81"/>
    <x v="804"/>
    <x v="3"/>
    <n v="38.110223073369774"/>
    <s v="High"/>
    <x v="2"/>
    <n v="2027"/>
  </r>
  <r>
    <s v="ORD0806"/>
    <d v="2027-08-27T00:00:00"/>
    <x v="1"/>
    <x v="2"/>
    <x v="0"/>
    <x v="6"/>
    <n v="4173"/>
    <x v="803"/>
    <n v="17559.54"/>
    <x v="805"/>
    <x v="0"/>
    <n v="29.86843997124371"/>
    <s v="Low"/>
    <x v="2"/>
    <n v="2027"/>
  </r>
  <r>
    <s v="ORD0807"/>
    <d v="2027-08-28T00:00:00"/>
    <x v="0"/>
    <x v="6"/>
    <x v="1"/>
    <x v="1"/>
    <n v="30539"/>
    <x v="804"/>
    <n v="242425.99"/>
    <x v="806"/>
    <x v="0"/>
    <n v="11.797304721467267"/>
    <s v="High"/>
    <x v="2"/>
    <n v="2027"/>
  </r>
  <r>
    <s v="ORD0808"/>
    <d v="2027-08-29T00:00:00"/>
    <x v="2"/>
    <x v="1"/>
    <x v="1"/>
    <x v="9"/>
    <n v="32540"/>
    <x v="805"/>
    <n v="77720.11"/>
    <x v="807"/>
    <x v="1"/>
    <n v="20.385054292153246"/>
    <s v="Low"/>
    <x v="2"/>
    <n v="2027"/>
  </r>
  <r>
    <s v="ORD0809"/>
    <d v="2027-08-30T00:00:00"/>
    <x v="1"/>
    <x v="5"/>
    <x v="1"/>
    <x v="9"/>
    <n v="1441"/>
    <x v="806"/>
    <n v="2817.19"/>
    <x v="808"/>
    <x v="0"/>
    <n v="34.832523710386305"/>
    <s v="Low"/>
    <x v="2"/>
    <n v="2027"/>
  </r>
  <r>
    <s v="ORD0810"/>
    <d v="2027-08-31T00:00:00"/>
    <x v="1"/>
    <x v="3"/>
    <x v="3"/>
    <x v="9"/>
    <n v="39234"/>
    <x v="807"/>
    <n v="72879.58"/>
    <x v="809"/>
    <x v="3"/>
    <n v="38.081273045487755"/>
    <s v="Medium"/>
    <x v="2"/>
    <n v="2027"/>
  </r>
  <r>
    <s v="ORD0811"/>
    <d v="2027-09-01T00:00:00"/>
    <x v="2"/>
    <x v="4"/>
    <x v="3"/>
    <x v="3"/>
    <n v="4635"/>
    <x v="808"/>
    <n v="15598.37"/>
    <x v="810"/>
    <x v="3"/>
    <n v="15.866396979503778"/>
    <s v="Low"/>
    <x v="3"/>
    <n v="2027"/>
  </r>
  <r>
    <s v="ORD0812"/>
    <d v="2027-09-02T00:00:00"/>
    <x v="0"/>
    <x v="1"/>
    <x v="0"/>
    <x v="4"/>
    <n v="36275"/>
    <x v="809"/>
    <n v="232594.87"/>
    <x v="811"/>
    <x v="1"/>
    <n v="35.880118538938667"/>
    <s v="High"/>
    <x v="3"/>
    <n v="2027"/>
  </r>
  <r>
    <s v="ORD0813"/>
    <d v="2027-09-03T00:00:00"/>
    <x v="2"/>
    <x v="0"/>
    <x v="0"/>
    <x v="8"/>
    <n v="18449"/>
    <x v="810"/>
    <n v="23702.21"/>
    <x v="812"/>
    <x v="2"/>
    <n v="35.762886877337529"/>
    <s v="Low"/>
    <x v="3"/>
    <n v="2027"/>
  </r>
  <r>
    <s v="ORD0814"/>
    <d v="2027-09-04T00:00:00"/>
    <x v="1"/>
    <x v="0"/>
    <x v="2"/>
    <x v="7"/>
    <n v="16467"/>
    <x v="811"/>
    <n v="115625.04"/>
    <x v="813"/>
    <x v="0"/>
    <n v="12.229732191656039"/>
    <s v="Medium"/>
    <x v="3"/>
    <n v="2027"/>
  </r>
  <r>
    <s v="ORD0815"/>
    <d v="2027-09-05T00:00:00"/>
    <x v="2"/>
    <x v="3"/>
    <x v="3"/>
    <x v="5"/>
    <n v="10838"/>
    <x v="812"/>
    <n v="45875.34"/>
    <x v="814"/>
    <x v="0"/>
    <n v="39.53109429784093"/>
    <s v="Low"/>
    <x v="3"/>
    <n v="2027"/>
  </r>
  <r>
    <s v="ORD0816"/>
    <d v="2027-09-06T00:00:00"/>
    <x v="3"/>
    <x v="2"/>
    <x v="2"/>
    <x v="8"/>
    <n v="46816"/>
    <x v="813"/>
    <n v="74486.759999999995"/>
    <x v="815"/>
    <x v="3"/>
    <n v="20.447325700615178"/>
    <s v="Low"/>
    <x v="3"/>
    <n v="2027"/>
  </r>
  <r>
    <s v="ORD0817"/>
    <d v="2027-09-07T00:00:00"/>
    <x v="2"/>
    <x v="2"/>
    <x v="2"/>
    <x v="3"/>
    <n v="9877"/>
    <x v="814"/>
    <n v="31288.27"/>
    <x v="816"/>
    <x v="1"/>
    <n v="20.805229320643921"/>
    <s v="Low"/>
    <x v="3"/>
    <n v="2027"/>
  </r>
  <r>
    <s v="ORD0818"/>
    <d v="2027-09-08T00:00:00"/>
    <x v="2"/>
    <x v="3"/>
    <x v="3"/>
    <x v="0"/>
    <n v="39577"/>
    <x v="815"/>
    <n v="25883.360000000001"/>
    <x v="817"/>
    <x v="2"/>
    <n v="34.599994946559868"/>
    <s v="Low"/>
    <x v="3"/>
    <n v="2027"/>
  </r>
  <r>
    <s v="ORD0819"/>
    <d v="2027-09-09T00:00:00"/>
    <x v="1"/>
    <x v="3"/>
    <x v="5"/>
    <x v="0"/>
    <n v="37050"/>
    <x v="816"/>
    <n v="24849.13"/>
    <x v="818"/>
    <x v="2"/>
    <n v="32.930823211875847"/>
    <s v="Low"/>
    <x v="3"/>
    <n v="2027"/>
  </r>
  <r>
    <s v="ORD0820"/>
    <d v="2027-09-10T00:00:00"/>
    <x v="0"/>
    <x v="5"/>
    <x v="3"/>
    <x v="3"/>
    <n v="30922"/>
    <x v="817"/>
    <n v="102797.02"/>
    <x v="819"/>
    <x v="0"/>
    <n v="16.890062091714636"/>
    <s v="Medium"/>
    <x v="3"/>
    <n v="2027"/>
  </r>
  <r>
    <s v="ORD0821"/>
    <d v="2027-09-11T00:00:00"/>
    <x v="2"/>
    <x v="7"/>
    <x v="0"/>
    <x v="9"/>
    <n v="45408"/>
    <x v="818"/>
    <n v="116217.4"/>
    <x v="820"/>
    <x v="1"/>
    <n v="14.686545689452664"/>
    <s v="Medium"/>
    <x v="3"/>
    <n v="2027"/>
  </r>
  <r>
    <s v="ORD0822"/>
    <d v="2027-09-12T00:00:00"/>
    <x v="3"/>
    <x v="6"/>
    <x v="1"/>
    <x v="0"/>
    <n v="4040"/>
    <x v="819"/>
    <n v="3205.57"/>
    <x v="821"/>
    <x v="3"/>
    <n v="20.654207920792079"/>
    <s v="Low"/>
    <x v="3"/>
    <n v="2027"/>
  </r>
  <r>
    <s v="ORD0823"/>
    <d v="2027-09-13T00:00:00"/>
    <x v="1"/>
    <x v="0"/>
    <x v="4"/>
    <x v="4"/>
    <n v="30197"/>
    <x v="820"/>
    <n v="185106.17"/>
    <x v="822"/>
    <x v="1"/>
    <n v="38.700476868563108"/>
    <s v="High"/>
    <x v="3"/>
    <n v="2027"/>
  </r>
  <r>
    <s v="ORD0824"/>
    <d v="2027-09-14T00:00:00"/>
    <x v="0"/>
    <x v="7"/>
    <x v="5"/>
    <x v="1"/>
    <n v="8106"/>
    <x v="821"/>
    <n v="45323.25"/>
    <x v="823"/>
    <x v="2"/>
    <n v="37.874208405296486"/>
    <s v="Low"/>
    <x v="3"/>
    <n v="2027"/>
  </r>
  <r>
    <s v="ORD0825"/>
    <d v="2027-09-15T00:00:00"/>
    <x v="3"/>
    <x v="6"/>
    <x v="2"/>
    <x v="6"/>
    <n v="15577"/>
    <x v="822"/>
    <n v="77918.58"/>
    <x v="824"/>
    <x v="0"/>
    <n v="16.630737625987031"/>
    <s v="Low"/>
    <x v="3"/>
    <n v="2027"/>
  </r>
  <r>
    <s v="ORD0826"/>
    <d v="2027-09-16T00:00:00"/>
    <x v="0"/>
    <x v="3"/>
    <x v="1"/>
    <x v="5"/>
    <n v="13604"/>
    <x v="823"/>
    <n v="67865.16"/>
    <x v="825"/>
    <x v="3"/>
    <n v="28.734027806947537"/>
    <s v="Low"/>
    <x v="3"/>
    <n v="2027"/>
  </r>
  <r>
    <s v="ORD0827"/>
    <d v="2027-09-17T00:00:00"/>
    <x v="2"/>
    <x v="0"/>
    <x v="5"/>
    <x v="0"/>
    <n v="29064"/>
    <x v="824"/>
    <n v="18702.169999999998"/>
    <x v="826"/>
    <x v="3"/>
    <n v="35.651768510872557"/>
    <s v="Low"/>
    <x v="3"/>
    <n v="2027"/>
  </r>
  <r>
    <s v="ORD0828"/>
    <d v="2027-09-18T00:00:00"/>
    <x v="3"/>
    <x v="5"/>
    <x v="2"/>
    <x v="7"/>
    <n v="47674"/>
    <x v="825"/>
    <n v="251049.94"/>
    <x v="827"/>
    <x v="1"/>
    <n v="34.175352393338088"/>
    <s v="High"/>
    <x v="3"/>
    <n v="2027"/>
  </r>
  <r>
    <s v="ORD0829"/>
    <d v="2027-09-19T00:00:00"/>
    <x v="3"/>
    <x v="0"/>
    <x v="2"/>
    <x v="0"/>
    <n v="45864"/>
    <x v="826"/>
    <n v="35342.79"/>
    <x v="828"/>
    <x v="0"/>
    <n v="22.940018315018314"/>
    <s v="Low"/>
    <x v="3"/>
    <n v="2027"/>
  </r>
  <r>
    <s v="ORD0830"/>
    <d v="2027-09-20T00:00:00"/>
    <x v="0"/>
    <x v="5"/>
    <x v="5"/>
    <x v="5"/>
    <n v="11719"/>
    <x v="827"/>
    <n v="67931.679999999993"/>
    <x v="829"/>
    <x v="1"/>
    <n v="17.189813855399656"/>
    <s v="Low"/>
    <x v="3"/>
    <n v="2027"/>
  </r>
  <r>
    <s v="ORD0831"/>
    <d v="2027-09-21T00:00:00"/>
    <x v="0"/>
    <x v="3"/>
    <x v="3"/>
    <x v="9"/>
    <n v="38387"/>
    <x v="828"/>
    <n v="102613.14"/>
    <x v="830"/>
    <x v="3"/>
    <n v="10.895928309062965"/>
    <s v="Medium"/>
    <x v="3"/>
    <n v="2027"/>
  </r>
  <r>
    <s v="ORD0832"/>
    <d v="2027-09-22T00:00:00"/>
    <x v="2"/>
    <x v="5"/>
    <x v="5"/>
    <x v="3"/>
    <n v="39269"/>
    <x v="829"/>
    <n v="116557.73"/>
    <x v="831"/>
    <x v="0"/>
    <n v="25.795328376072728"/>
    <s v="Medium"/>
    <x v="3"/>
    <n v="2027"/>
  </r>
  <r>
    <s v="ORD0833"/>
    <d v="2027-09-23T00:00:00"/>
    <x v="0"/>
    <x v="0"/>
    <x v="1"/>
    <x v="3"/>
    <n v="16741"/>
    <x v="830"/>
    <n v="46753.51"/>
    <x v="832"/>
    <x v="0"/>
    <n v="30.181127172809276"/>
    <s v="Low"/>
    <x v="3"/>
    <n v="2027"/>
  </r>
  <r>
    <s v="ORD0834"/>
    <d v="2027-09-24T00:00:00"/>
    <x v="1"/>
    <x v="2"/>
    <x v="0"/>
    <x v="0"/>
    <n v="31344"/>
    <x v="831"/>
    <n v="25703.42"/>
    <x v="833"/>
    <x v="3"/>
    <n v="17.995724859622257"/>
    <s v="Low"/>
    <x v="3"/>
    <n v="2027"/>
  </r>
  <r>
    <s v="ORD0835"/>
    <d v="2027-09-25T00:00:00"/>
    <x v="1"/>
    <x v="1"/>
    <x v="1"/>
    <x v="8"/>
    <n v="30151"/>
    <x v="832"/>
    <n v="45141.2"/>
    <x v="834"/>
    <x v="3"/>
    <n v="25.14145467812013"/>
    <s v="Low"/>
    <x v="3"/>
    <n v="2027"/>
  </r>
  <r>
    <s v="ORD0836"/>
    <d v="2027-09-26T00:00:00"/>
    <x v="1"/>
    <x v="1"/>
    <x v="2"/>
    <x v="6"/>
    <n v="19884"/>
    <x v="833"/>
    <n v="80138.73"/>
    <x v="835"/>
    <x v="3"/>
    <n v="32.828128143230735"/>
    <s v="Medium"/>
    <x v="3"/>
    <n v="2027"/>
  </r>
  <r>
    <s v="ORD0837"/>
    <d v="2027-09-27T00:00:00"/>
    <x v="1"/>
    <x v="7"/>
    <x v="4"/>
    <x v="9"/>
    <n v="46591"/>
    <x v="834"/>
    <n v="103122.4"/>
    <x v="836"/>
    <x v="3"/>
    <n v="26.221516315740523"/>
    <s v="Medium"/>
    <x v="3"/>
    <n v="2027"/>
  </r>
  <r>
    <s v="ORD0838"/>
    <d v="2027-09-28T00:00:00"/>
    <x v="3"/>
    <x v="7"/>
    <x v="1"/>
    <x v="5"/>
    <n v="12620"/>
    <x v="835"/>
    <n v="73936.84"/>
    <x v="837"/>
    <x v="0"/>
    <n v="16.304233642743942"/>
    <s v="Low"/>
    <x v="3"/>
    <n v="2027"/>
  </r>
  <r>
    <s v="ORD0839"/>
    <d v="2027-09-29T00:00:00"/>
    <x v="1"/>
    <x v="5"/>
    <x v="0"/>
    <x v="5"/>
    <n v="45769"/>
    <x v="836"/>
    <n v="224227.04"/>
    <x v="838"/>
    <x v="3"/>
    <n v="30.012815910956576"/>
    <s v="High"/>
    <x v="3"/>
    <n v="2027"/>
  </r>
  <r>
    <s v="ORD0840"/>
    <d v="2027-09-30T00:00:00"/>
    <x v="0"/>
    <x v="3"/>
    <x v="1"/>
    <x v="4"/>
    <n v="36049"/>
    <x v="837"/>
    <n v="278503.33"/>
    <x v="839"/>
    <x v="2"/>
    <n v="22.743119087908127"/>
    <s v="High"/>
    <x v="3"/>
    <n v="2027"/>
  </r>
  <r>
    <s v="ORD0841"/>
    <d v="2027-10-01T00:00:00"/>
    <x v="3"/>
    <x v="7"/>
    <x v="3"/>
    <x v="6"/>
    <n v="3879"/>
    <x v="838"/>
    <n v="14739.19"/>
    <x v="840"/>
    <x v="0"/>
    <n v="36.671006273094434"/>
    <s v="Low"/>
    <x v="4"/>
    <n v="2027"/>
  </r>
  <r>
    <s v="ORD0842"/>
    <d v="2027-10-02T00:00:00"/>
    <x v="1"/>
    <x v="6"/>
    <x v="4"/>
    <x v="9"/>
    <n v="42978"/>
    <x v="839"/>
    <n v="98974.53"/>
    <x v="841"/>
    <x v="1"/>
    <n v="23.236283680022339"/>
    <s v="Medium"/>
    <x v="4"/>
    <n v="2027"/>
  </r>
  <r>
    <s v="ORD0843"/>
    <d v="2027-10-03T00:00:00"/>
    <x v="0"/>
    <x v="6"/>
    <x v="2"/>
    <x v="1"/>
    <n v="7942"/>
    <x v="840"/>
    <n v="56804.39"/>
    <x v="842"/>
    <x v="2"/>
    <n v="20.528848037158287"/>
    <s v="Low"/>
    <x v="4"/>
    <n v="2027"/>
  </r>
  <r>
    <s v="ORD0844"/>
    <d v="2027-10-04T00:00:00"/>
    <x v="1"/>
    <x v="3"/>
    <x v="4"/>
    <x v="1"/>
    <n v="45079"/>
    <x v="841"/>
    <n v="294902.7"/>
    <x v="843"/>
    <x v="2"/>
    <n v="27.312126119331246"/>
    <s v="High"/>
    <x v="4"/>
    <n v="2027"/>
  </r>
  <r>
    <s v="ORD0845"/>
    <d v="2027-10-05T00:00:00"/>
    <x v="1"/>
    <x v="7"/>
    <x v="5"/>
    <x v="7"/>
    <n v="33363"/>
    <x v="842"/>
    <n v="202314.51"/>
    <x v="844"/>
    <x v="2"/>
    <n v="24.199521176153223"/>
    <s v="High"/>
    <x v="4"/>
    <n v="2027"/>
  </r>
  <r>
    <s v="ORD0846"/>
    <d v="2027-10-06T00:00:00"/>
    <x v="1"/>
    <x v="6"/>
    <x v="3"/>
    <x v="6"/>
    <n v="44625"/>
    <x v="843"/>
    <n v="236586.47"/>
    <x v="845"/>
    <x v="3"/>
    <n v="11.63904014939309"/>
    <s v="High"/>
    <x v="4"/>
    <n v="2027"/>
  </r>
  <r>
    <s v="ORD0847"/>
    <d v="2027-10-07T00:00:00"/>
    <x v="1"/>
    <x v="3"/>
    <x v="0"/>
    <x v="5"/>
    <n v="12218"/>
    <x v="844"/>
    <n v="58714.61"/>
    <x v="846"/>
    <x v="1"/>
    <n v="31.348817903327642"/>
    <s v="Low"/>
    <x v="4"/>
    <n v="2027"/>
  </r>
  <r>
    <s v="ORD0848"/>
    <d v="2027-10-08T00:00:00"/>
    <x v="0"/>
    <x v="1"/>
    <x v="0"/>
    <x v="9"/>
    <n v="33027"/>
    <x v="845"/>
    <n v="63922.05"/>
    <x v="847"/>
    <x v="2"/>
    <n v="35.485057680079926"/>
    <s v="Low"/>
    <x v="4"/>
    <n v="2027"/>
  </r>
  <r>
    <s v="ORD0849"/>
    <d v="2027-10-09T00:00:00"/>
    <x v="2"/>
    <x v="7"/>
    <x v="1"/>
    <x v="1"/>
    <n v="9152"/>
    <x v="846"/>
    <n v="61131.18"/>
    <x v="848"/>
    <x v="0"/>
    <n v="25.782852564102566"/>
    <s v="Low"/>
    <x v="4"/>
    <n v="2027"/>
  </r>
  <r>
    <s v="ORD0850"/>
    <d v="2027-10-10T00:00:00"/>
    <x v="0"/>
    <x v="4"/>
    <x v="2"/>
    <x v="8"/>
    <n v="1944"/>
    <x v="847"/>
    <n v="3349.66"/>
    <x v="849"/>
    <x v="3"/>
    <n v="13.846193415637861"/>
    <s v="Low"/>
    <x v="4"/>
    <n v="2027"/>
  </r>
  <r>
    <s v="ORD0851"/>
    <d v="2027-10-11T00:00:00"/>
    <x v="2"/>
    <x v="7"/>
    <x v="4"/>
    <x v="6"/>
    <n v="32360"/>
    <x v="848"/>
    <n v="151057.87"/>
    <x v="850"/>
    <x v="2"/>
    <n v="22.199284095591263"/>
    <s v="Medium"/>
    <x v="4"/>
    <n v="2027"/>
  </r>
  <r>
    <s v="ORD0852"/>
    <d v="2027-10-12T00:00:00"/>
    <x v="0"/>
    <x v="7"/>
    <x v="2"/>
    <x v="2"/>
    <n v="11754"/>
    <x v="849"/>
    <n v="49177.58"/>
    <x v="851"/>
    <x v="2"/>
    <n v="16.321966989960863"/>
    <s v="Low"/>
    <x v="4"/>
    <n v="2027"/>
  </r>
  <r>
    <s v="ORD0853"/>
    <d v="2027-10-13T00:00:00"/>
    <x v="0"/>
    <x v="0"/>
    <x v="0"/>
    <x v="9"/>
    <n v="23642"/>
    <x v="850"/>
    <n v="48606.62"/>
    <x v="852"/>
    <x v="2"/>
    <n v="31.468544680371092"/>
    <s v="Low"/>
    <x v="4"/>
    <n v="2027"/>
  </r>
  <r>
    <s v="ORD0854"/>
    <d v="2027-10-14T00:00:00"/>
    <x v="1"/>
    <x v="4"/>
    <x v="2"/>
    <x v="9"/>
    <n v="11067"/>
    <x v="851"/>
    <n v="22290.21"/>
    <x v="853"/>
    <x v="1"/>
    <n v="32.862835456763349"/>
    <s v="Low"/>
    <x v="4"/>
    <n v="2027"/>
  </r>
  <r>
    <s v="ORD0855"/>
    <d v="2027-10-15T00:00:00"/>
    <x v="1"/>
    <x v="4"/>
    <x v="4"/>
    <x v="6"/>
    <n v="12591"/>
    <x v="852"/>
    <n v="49977.2"/>
    <x v="854"/>
    <x v="2"/>
    <n v="33.845339263495092"/>
    <s v="Low"/>
    <x v="4"/>
    <n v="2027"/>
  </r>
  <r>
    <s v="ORD0856"/>
    <d v="2027-10-16T00:00:00"/>
    <x v="3"/>
    <x v="3"/>
    <x v="4"/>
    <x v="7"/>
    <n v="35880"/>
    <x v="853"/>
    <n v="256223.3"/>
    <x v="855"/>
    <x v="0"/>
    <n v="10.736029821627648"/>
    <s v="High"/>
    <x v="4"/>
    <n v="2027"/>
  </r>
  <r>
    <s v="ORD0857"/>
    <d v="2027-10-17T00:00:00"/>
    <x v="0"/>
    <x v="1"/>
    <x v="5"/>
    <x v="9"/>
    <n v="30518"/>
    <x v="854"/>
    <n v="80415.850000000006"/>
    <x v="856"/>
    <x v="2"/>
    <n v="12.165661795224676"/>
    <s v="Low"/>
    <x v="4"/>
    <n v="2027"/>
  </r>
  <r>
    <s v="ORD0858"/>
    <d v="2027-10-18T00:00:00"/>
    <x v="0"/>
    <x v="7"/>
    <x v="1"/>
    <x v="2"/>
    <n v="31558"/>
    <x v="855"/>
    <n v="137086.88"/>
    <x v="857"/>
    <x v="2"/>
    <n v="13.12067938399138"/>
    <s v="Medium"/>
    <x v="4"/>
    <n v="2027"/>
  </r>
  <r>
    <s v="ORD0859"/>
    <d v="2027-10-19T00:00:00"/>
    <x v="1"/>
    <x v="5"/>
    <x v="0"/>
    <x v="7"/>
    <n v="3126"/>
    <x v="856"/>
    <n v="16050.81"/>
    <x v="858"/>
    <x v="0"/>
    <n v="35.817298464491365"/>
    <s v="Low"/>
    <x v="4"/>
    <n v="2027"/>
  </r>
  <r>
    <s v="ORD0860"/>
    <d v="2027-10-20T00:00:00"/>
    <x v="3"/>
    <x v="1"/>
    <x v="3"/>
    <x v="3"/>
    <n v="29727"/>
    <x v="857"/>
    <n v="84093.89"/>
    <x v="859"/>
    <x v="1"/>
    <n v="29.278189861069066"/>
    <s v="Medium"/>
    <x v="4"/>
    <n v="2027"/>
  </r>
  <r>
    <s v="ORD0861"/>
    <d v="2027-10-21T00:00:00"/>
    <x v="1"/>
    <x v="7"/>
    <x v="3"/>
    <x v="3"/>
    <n v="18714"/>
    <x v="858"/>
    <n v="49308.75"/>
    <x v="860"/>
    <x v="0"/>
    <n v="34.128526771401091"/>
    <s v="Low"/>
    <x v="4"/>
    <n v="2027"/>
  </r>
  <r>
    <s v="ORD0862"/>
    <d v="2027-10-22T00:00:00"/>
    <x v="1"/>
    <x v="4"/>
    <x v="5"/>
    <x v="3"/>
    <n v="32643"/>
    <x v="859"/>
    <n v="90790.28"/>
    <x v="861"/>
    <x v="3"/>
    <n v="30.467267101675706"/>
    <s v="Medium"/>
    <x v="4"/>
    <n v="2027"/>
  </r>
  <r>
    <s v="ORD0863"/>
    <d v="2027-10-23T00:00:00"/>
    <x v="1"/>
    <x v="5"/>
    <x v="1"/>
    <x v="5"/>
    <n v="24724"/>
    <x v="860"/>
    <n v="123887.92"/>
    <x v="862"/>
    <x v="2"/>
    <n v="28.416622368086536"/>
    <s v="Medium"/>
    <x v="4"/>
    <n v="2027"/>
  </r>
  <r>
    <s v="ORD0864"/>
    <d v="2027-10-24T00:00:00"/>
    <x v="2"/>
    <x v="2"/>
    <x v="4"/>
    <x v="7"/>
    <n v="37267"/>
    <x v="861"/>
    <n v="186716.49"/>
    <x v="863"/>
    <x v="3"/>
    <n v="37.372041618590174"/>
    <s v="High"/>
    <x v="4"/>
    <n v="2027"/>
  </r>
  <r>
    <s v="ORD0865"/>
    <d v="2027-10-25T00:00:00"/>
    <x v="0"/>
    <x v="3"/>
    <x v="2"/>
    <x v="5"/>
    <n v="48249"/>
    <x v="862"/>
    <n v="293474.57"/>
    <x v="864"/>
    <x v="1"/>
    <n v="13.107134714857155"/>
    <s v="High"/>
    <x v="4"/>
    <n v="2027"/>
  </r>
  <r>
    <s v="ORD0866"/>
    <d v="2027-10-26T00:00:00"/>
    <x v="1"/>
    <x v="2"/>
    <x v="4"/>
    <x v="7"/>
    <n v="34926"/>
    <x v="863"/>
    <n v="250347.19"/>
    <x v="865"/>
    <x v="0"/>
    <n v="10.400851085151464"/>
    <s v="High"/>
    <x v="4"/>
    <n v="2027"/>
  </r>
  <r>
    <s v="ORD0867"/>
    <d v="2027-10-27T00:00:00"/>
    <x v="2"/>
    <x v="0"/>
    <x v="5"/>
    <x v="2"/>
    <n v="27665"/>
    <x v="864"/>
    <n v="90252.62"/>
    <x v="866"/>
    <x v="1"/>
    <n v="34.753211639255376"/>
    <s v="Medium"/>
    <x v="4"/>
    <n v="2027"/>
  </r>
  <r>
    <s v="ORD0868"/>
    <d v="2027-10-28T00:00:00"/>
    <x v="3"/>
    <x v="5"/>
    <x v="5"/>
    <x v="2"/>
    <n v="36798"/>
    <x v="865"/>
    <n v="137472.85"/>
    <x v="867"/>
    <x v="3"/>
    <n v="25.282433827925431"/>
    <s v="Medium"/>
    <x v="4"/>
    <n v="2027"/>
  </r>
  <r>
    <s v="ORD0869"/>
    <d v="2027-10-29T00:00:00"/>
    <x v="1"/>
    <x v="0"/>
    <x v="1"/>
    <x v="7"/>
    <n v="15214"/>
    <x v="866"/>
    <n v="74007.23"/>
    <x v="868"/>
    <x v="2"/>
    <n v="39.194795911660314"/>
    <s v="Medium"/>
    <x v="4"/>
    <n v="2027"/>
  </r>
  <r>
    <s v="ORD0870"/>
    <d v="2027-10-30T00:00:00"/>
    <x v="3"/>
    <x v="2"/>
    <x v="1"/>
    <x v="7"/>
    <n v="8638"/>
    <x v="867"/>
    <n v="55016.73"/>
    <x v="869"/>
    <x v="1"/>
    <n v="20.385607200740914"/>
    <s v="Low"/>
    <x v="4"/>
    <n v="2027"/>
  </r>
  <r>
    <s v="ORD0871"/>
    <d v="2027-10-31T00:00:00"/>
    <x v="3"/>
    <x v="7"/>
    <x v="1"/>
    <x v="3"/>
    <n v="2364"/>
    <x v="868"/>
    <n v="6012.19"/>
    <x v="870"/>
    <x v="0"/>
    <n v="36.419310490693739"/>
    <s v="Low"/>
    <x v="4"/>
    <n v="2027"/>
  </r>
  <r>
    <s v="ORD0872"/>
    <d v="2027-11-01T00:00:00"/>
    <x v="2"/>
    <x v="5"/>
    <x v="1"/>
    <x v="6"/>
    <n v="38580"/>
    <x v="869"/>
    <n v="172254.86"/>
    <x v="871"/>
    <x v="3"/>
    <n v="25.585424226715052"/>
    <s v="High"/>
    <x v="5"/>
    <n v="2027"/>
  </r>
  <r>
    <s v="ORD0873"/>
    <d v="2027-11-02T00:00:00"/>
    <x v="1"/>
    <x v="5"/>
    <x v="0"/>
    <x v="6"/>
    <n v="34088"/>
    <x v="870"/>
    <n v="167689.89000000001"/>
    <x v="872"/>
    <x v="1"/>
    <n v="18.011279629195027"/>
    <s v="High"/>
    <x v="5"/>
    <n v="2027"/>
  </r>
  <r>
    <s v="ORD0874"/>
    <d v="2027-11-03T00:00:00"/>
    <x v="0"/>
    <x v="4"/>
    <x v="0"/>
    <x v="9"/>
    <n v="21450"/>
    <x v="871"/>
    <n v="47510.45"/>
    <x v="873"/>
    <x v="1"/>
    <n v="26.168686868686869"/>
    <s v="Low"/>
    <x v="5"/>
    <n v="2027"/>
  </r>
  <r>
    <s v="ORD0875"/>
    <d v="2027-11-04T00:00:00"/>
    <x v="3"/>
    <x v="1"/>
    <x v="4"/>
    <x v="6"/>
    <n v="27993"/>
    <x v="872"/>
    <n v="132833.64000000001"/>
    <x v="874"/>
    <x v="2"/>
    <n v="20.912585289179439"/>
    <s v="Medium"/>
    <x v="5"/>
    <n v="2027"/>
  </r>
  <r>
    <s v="ORD0876"/>
    <d v="2027-11-05T00:00:00"/>
    <x v="0"/>
    <x v="3"/>
    <x v="3"/>
    <x v="8"/>
    <n v="34176"/>
    <x v="873"/>
    <n v="44985.49"/>
    <x v="875"/>
    <x v="1"/>
    <n v="34.185554190074903"/>
    <s v="Low"/>
    <x v="5"/>
    <n v="2027"/>
  </r>
  <r>
    <s v="ORD0877"/>
    <d v="2027-11-06T00:00:00"/>
    <x v="3"/>
    <x v="4"/>
    <x v="4"/>
    <x v="6"/>
    <n v="45390"/>
    <x v="874"/>
    <n v="228755.57"/>
    <x v="876"/>
    <x v="0"/>
    <n v="16.003682896379527"/>
    <s v="High"/>
    <x v="5"/>
    <n v="2027"/>
  </r>
  <r>
    <s v="ORD0878"/>
    <d v="2027-11-07T00:00:00"/>
    <x v="3"/>
    <x v="4"/>
    <x v="3"/>
    <x v="6"/>
    <n v="9918"/>
    <x v="875"/>
    <n v="35935.050000000003"/>
    <x v="877"/>
    <x v="3"/>
    <n v="39.61307723331317"/>
    <s v="Low"/>
    <x v="5"/>
    <n v="2027"/>
  </r>
  <r>
    <s v="ORD0879"/>
    <d v="2027-11-08T00:00:00"/>
    <x v="0"/>
    <x v="6"/>
    <x v="4"/>
    <x v="9"/>
    <n v="7212"/>
    <x v="876"/>
    <n v="14395.79"/>
    <x v="878"/>
    <x v="0"/>
    <n v="33.463717877611387"/>
    <s v="Low"/>
    <x v="5"/>
    <n v="2027"/>
  </r>
  <r>
    <s v="ORD0880"/>
    <d v="2027-11-09T00:00:00"/>
    <x v="1"/>
    <x v="7"/>
    <x v="5"/>
    <x v="8"/>
    <n v="8139"/>
    <x v="877"/>
    <n v="13765.55"/>
    <x v="879"/>
    <x v="2"/>
    <n v="15.434635704632019"/>
    <s v="Low"/>
    <x v="5"/>
    <n v="2027"/>
  </r>
  <r>
    <s v="ORD0881"/>
    <d v="2027-11-10T00:00:00"/>
    <x v="3"/>
    <x v="0"/>
    <x v="1"/>
    <x v="6"/>
    <n v="9610"/>
    <x v="878"/>
    <n v="48729.14"/>
    <x v="880"/>
    <x v="2"/>
    <n v="15.488831078737428"/>
    <s v="Low"/>
    <x v="5"/>
    <n v="2027"/>
  </r>
  <r>
    <s v="ORD0882"/>
    <d v="2027-11-11T00:00:00"/>
    <x v="0"/>
    <x v="6"/>
    <x v="1"/>
    <x v="8"/>
    <n v="15072"/>
    <x v="879"/>
    <n v="19250.39"/>
    <x v="881"/>
    <x v="2"/>
    <n v="36.1385682059448"/>
    <s v="Low"/>
    <x v="5"/>
    <n v="2027"/>
  </r>
  <r>
    <s v="ORD0883"/>
    <d v="2027-11-12T00:00:00"/>
    <x v="1"/>
    <x v="3"/>
    <x v="2"/>
    <x v="9"/>
    <n v="5651"/>
    <x v="880"/>
    <n v="12332.32"/>
    <x v="882"/>
    <x v="0"/>
    <n v="27.255824927741408"/>
    <s v="Low"/>
    <x v="5"/>
    <n v="2027"/>
  </r>
  <r>
    <s v="ORD0884"/>
    <d v="2027-11-13T00:00:00"/>
    <x v="1"/>
    <x v="7"/>
    <x v="5"/>
    <x v="0"/>
    <n v="13368"/>
    <x v="881"/>
    <n v="8453.19"/>
    <x v="883"/>
    <x v="0"/>
    <n v="36.765484739676843"/>
    <s v="Low"/>
    <x v="5"/>
    <n v="2027"/>
  </r>
  <r>
    <s v="ORD0885"/>
    <d v="2027-11-14T00:00:00"/>
    <x v="1"/>
    <x v="3"/>
    <x v="0"/>
    <x v="8"/>
    <n v="20268"/>
    <x v="882"/>
    <n v="32439.98"/>
    <x v="884"/>
    <x v="1"/>
    <n v="19.972419577659366"/>
    <s v="Low"/>
    <x v="5"/>
    <n v="2027"/>
  </r>
  <r>
    <s v="ORD0886"/>
    <d v="2027-11-15T00:00:00"/>
    <x v="1"/>
    <x v="0"/>
    <x v="2"/>
    <x v="9"/>
    <n v="44448"/>
    <x v="883"/>
    <n v="94068.87"/>
    <x v="885"/>
    <x v="2"/>
    <n v="29.45399118070554"/>
    <s v="Medium"/>
    <x v="5"/>
    <n v="2027"/>
  </r>
  <r>
    <s v="ORD0887"/>
    <d v="2027-11-16T00:00:00"/>
    <x v="0"/>
    <x v="3"/>
    <x v="4"/>
    <x v="6"/>
    <n v="11022"/>
    <x v="884"/>
    <n v="56644.800000000003"/>
    <x v="886"/>
    <x v="0"/>
    <n v="14.345853747051354"/>
    <s v="Low"/>
    <x v="5"/>
    <n v="2027"/>
  </r>
  <r>
    <s v="ORD0888"/>
    <d v="2027-11-17T00:00:00"/>
    <x v="3"/>
    <x v="0"/>
    <x v="0"/>
    <x v="1"/>
    <n v="14721"/>
    <x v="885"/>
    <n v="107944.55"/>
    <x v="887"/>
    <x v="0"/>
    <n v="18.525651186136209"/>
    <s v="Medium"/>
    <x v="5"/>
    <n v="2027"/>
  </r>
  <r>
    <s v="ORD0889"/>
    <d v="2027-11-18T00:00:00"/>
    <x v="0"/>
    <x v="7"/>
    <x v="2"/>
    <x v="1"/>
    <n v="46883"/>
    <x v="886"/>
    <n v="313259.63"/>
    <x v="888"/>
    <x v="0"/>
    <n v="25.758536024666608"/>
    <s v="High"/>
    <x v="5"/>
    <n v="2027"/>
  </r>
  <r>
    <s v="ORD0890"/>
    <d v="2027-11-19T00:00:00"/>
    <x v="0"/>
    <x v="2"/>
    <x v="4"/>
    <x v="5"/>
    <n v="28293"/>
    <x v="887"/>
    <n v="131561.75"/>
    <x v="889"/>
    <x v="0"/>
    <n v="33.571782015743416"/>
    <s v="Medium"/>
    <x v="5"/>
    <n v="2027"/>
  </r>
  <r>
    <s v="ORD0891"/>
    <d v="2027-11-20T00:00:00"/>
    <x v="2"/>
    <x v="4"/>
    <x v="0"/>
    <x v="7"/>
    <n v="7729"/>
    <x v="888"/>
    <n v="46739.94"/>
    <x v="890"/>
    <x v="2"/>
    <n v="24.408170526588176"/>
    <s v="Low"/>
    <x v="5"/>
    <n v="2027"/>
  </r>
  <r>
    <s v="ORD0892"/>
    <d v="2027-11-21T00:00:00"/>
    <x v="1"/>
    <x v="2"/>
    <x v="1"/>
    <x v="0"/>
    <n v="5890"/>
    <x v="889"/>
    <n v="4113.78"/>
    <x v="891"/>
    <x v="2"/>
    <n v="30.15653650254669"/>
    <s v="Low"/>
    <x v="5"/>
    <n v="2027"/>
  </r>
  <r>
    <s v="ORD0893"/>
    <d v="2027-11-22T00:00:00"/>
    <x v="2"/>
    <x v="6"/>
    <x v="3"/>
    <x v="2"/>
    <n v="45526"/>
    <x v="890"/>
    <n v="203240.29"/>
    <x v="892"/>
    <x v="3"/>
    <n v="10.714629003206959"/>
    <s v="High"/>
    <x v="5"/>
    <n v="2027"/>
  </r>
  <r>
    <s v="ORD0894"/>
    <d v="2027-11-23T00:00:00"/>
    <x v="2"/>
    <x v="4"/>
    <x v="5"/>
    <x v="3"/>
    <n v="5061"/>
    <x v="891"/>
    <n v="17580.419999999998"/>
    <x v="893"/>
    <x v="1"/>
    <n v="13.157379964433908"/>
    <s v="Low"/>
    <x v="5"/>
    <n v="2027"/>
  </r>
  <r>
    <s v="ORD0895"/>
    <d v="2027-11-24T00:00:00"/>
    <x v="2"/>
    <x v="3"/>
    <x v="1"/>
    <x v="7"/>
    <n v="44546"/>
    <x v="892"/>
    <n v="225064.77"/>
    <x v="894"/>
    <x v="0"/>
    <n v="36.844842971310563"/>
    <s v="High"/>
    <x v="5"/>
    <n v="2027"/>
  </r>
  <r>
    <s v="ORD0896"/>
    <d v="2027-11-25T00:00:00"/>
    <x v="1"/>
    <x v="0"/>
    <x v="5"/>
    <x v="5"/>
    <n v="46049"/>
    <x v="893"/>
    <n v="250514.4"/>
    <x v="895"/>
    <x v="0"/>
    <n v="22.28328209391859"/>
    <s v="High"/>
    <x v="5"/>
    <n v="2027"/>
  </r>
  <r>
    <s v="ORD0897"/>
    <d v="2027-11-26T00:00:00"/>
    <x v="2"/>
    <x v="3"/>
    <x v="2"/>
    <x v="6"/>
    <n v="13624"/>
    <x v="894"/>
    <n v="63636.74"/>
    <x v="896"/>
    <x v="1"/>
    <n v="22.151179291446464"/>
    <s v="Low"/>
    <x v="5"/>
    <n v="2027"/>
  </r>
  <r>
    <s v="ORD0898"/>
    <d v="2027-11-27T00:00:00"/>
    <x v="3"/>
    <x v="2"/>
    <x v="1"/>
    <x v="7"/>
    <n v="18752"/>
    <x v="895"/>
    <n v="124430.04"/>
    <x v="897"/>
    <x v="2"/>
    <n v="17.055487414675767"/>
    <s v="Medium"/>
    <x v="5"/>
    <n v="2027"/>
  </r>
  <r>
    <s v="ORD0899"/>
    <d v="2027-11-28T00:00:00"/>
    <x v="3"/>
    <x v="0"/>
    <x v="1"/>
    <x v="4"/>
    <n v="27005"/>
    <x v="896"/>
    <n v="242034.19"/>
    <x v="898"/>
    <x v="3"/>
    <n v="10.374304758378079"/>
    <s v="High"/>
    <x v="5"/>
    <n v="2027"/>
  </r>
  <r>
    <s v="ORD0900"/>
    <d v="2027-11-29T00:00:00"/>
    <x v="0"/>
    <x v="1"/>
    <x v="0"/>
    <x v="2"/>
    <n v="32569"/>
    <x v="897"/>
    <n v="122000.56"/>
    <x v="899"/>
    <x v="0"/>
    <n v="25.081789431668149"/>
    <s v="Medium"/>
    <x v="5"/>
    <n v="2027"/>
  </r>
  <r>
    <s v="ORD0901"/>
    <d v="2027-11-30T00:00:00"/>
    <x v="0"/>
    <x v="2"/>
    <x v="0"/>
    <x v="7"/>
    <n v="44940"/>
    <x v="898"/>
    <n v="218597.03"/>
    <x v="900"/>
    <x v="2"/>
    <n v="39.197532821539831"/>
    <s v="High"/>
    <x v="5"/>
    <n v="2027"/>
  </r>
  <r>
    <s v="ORD0902"/>
    <d v="2027-12-01T00:00:00"/>
    <x v="1"/>
    <x v="7"/>
    <x v="4"/>
    <x v="4"/>
    <n v="41344"/>
    <x v="725"/>
    <n v="260012.45"/>
    <x v="901"/>
    <x v="3"/>
    <n v="37.109991776315788"/>
    <s v="High"/>
    <x v="6"/>
    <n v="2027"/>
  </r>
  <r>
    <s v="ORD0903"/>
    <d v="2027-12-02T00:00:00"/>
    <x v="3"/>
    <x v="1"/>
    <x v="4"/>
    <x v="7"/>
    <n v="32629"/>
    <x v="899"/>
    <n v="196149.48"/>
    <x v="902"/>
    <x v="0"/>
    <n v="24.856155567133531"/>
    <s v="High"/>
    <x v="6"/>
    <n v="2027"/>
  </r>
  <r>
    <s v="ORD0904"/>
    <d v="2027-12-03T00:00:00"/>
    <x v="2"/>
    <x v="7"/>
    <x v="0"/>
    <x v="5"/>
    <n v="29998"/>
    <x v="900"/>
    <n v="145807.51"/>
    <x v="903"/>
    <x v="3"/>
    <n v="30.563223262503215"/>
    <s v="High"/>
    <x v="6"/>
    <n v="2027"/>
  </r>
  <r>
    <s v="ORD0905"/>
    <d v="2027-12-04T00:00:00"/>
    <x v="3"/>
    <x v="0"/>
    <x v="0"/>
    <x v="9"/>
    <n v="36981"/>
    <x v="901"/>
    <n v="88512.91"/>
    <x v="904"/>
    <x v="3"/>
    <n v="20.217670335217182"/>
    <s v="Medium"/>
    <x v="6"/>
    <n v="2027"/>
  </r>
  <r>
    <s v="ORD0906"/>
    <d v="2027-12-05T00:00:00"/>
    <x v="1"/>
    <x v="7"/>
    <x v="2"/>
    <x v="2"/>
    <n v="47405"/>
    <x v="902"/>
    <n v="169881.54"/>
    <x v="905"/>
    <x v="3"/>
    <n v="28.327585697711218"/>
    <s v="High"/>
    <x v="6"/>
    <n v="2027"/>
  </r>
  <r>
    <s v="ORD0907"/>
    <d v="2027-12-06T00:00:00"/>
    <x v="3"/>
    <x v="7"/>
    <x v="3"/>
    <x v="9"/>
    <n v="33706"/>
    <x v="903"/>
    <n v="62361.61"/>
    <x v="906"/>
    <x v="3"/>
    <n v="38.327884254039837"/>
    <s v="Medium"/>
    <x v="6"/>
    <n v="2027"/>
  </r>
  <r>
    <s v="ORD0908"/>
    <d v="2027-12-07T00:00:00"/>
    <x v="1"/>
    <x v="1"/>
    <x v="1"/>
    <x v="6"/>
    <n v="19140"/>
    <x v="904"/>
    <n v="79945.27"/>
    <x v="907"/>
    <x v="1"/>
    <n v="30.38551898293278"/>
    <s v="Medium"/>
    <x v="6"/>
    <n v="2027"/>
  </r>
  <r>
    <s v="ORD0909"/>
    <d v="2027-12-08T00:00:00"/>
    <x v="3"/>
    <x v="2"/>
    <x v="4"/>
    <x v="4"/>
    <n v="2262"/>
    <x v="905"/>
    <n v="18764.61"/>
    <x v="908"/>
    <x v="0"/>
    <n v="17.044164456233421"/>
    <s v="Low"/>
    <x v="6"/>
    <n v="2027"/>
  </r>
  <r>
    <s v="ORD0910"/>
    <d v="2027-12-09T00:00:00"/>
    <x v="0"/>
    <x v="6"/>
    <x v="4"/>
    <x v="6"/>
    <n v="27496"/>
    <x v="906"/>
    <n v="116370.9"/>
    <x v="909"/>
    <x v="1"/>
    <n v="29.461921734070412"/>
    <s v="Medium"/>
    <x v="6"/>
    <n v="2027"/>
  </r>
  <r>
    <s v="ORD0911"/>
    <d v="2027-12-10T00:00:00"/>
    <x v="1"/>
    <x v="5"/>
    <x v="4"/>
    <x v="4"/>
    <n v="6066"/>
    <x v="907"/>
    <n v="52963.26"/>
    <x v="910"/>
    <x v="0"/>
    <n v="12.688328387734915"/>
    <s v="Low"/>
    <x v="6"/>
    <n v="2027"/>
  </r>
  <r>
    <s v="ORD0912"/>
    <d v="2027-12-11T00:00:00"/>
    <x v="2"/>
    <x v="2"/>
    <x v="2"/>
    <x v="0"/>
    <n v="35785"/>
    <x v="908"/>
    <n v="24972.03"/>
    <x v="911"/>
    <x v="3"/>
    <n v="30.216487355037025"/>
    <s v="Low"/>
    <x v="6"/>
    <n v="2027"/>
  </r>
  <r>
    <s v="ORD0913"/>
    <d v="2027-12-12T00:00:00"/>
    <x v="3"/>
    <x v="2"/>
    <x v="0"/>
    <x v="7"/>
    <n v="39034"/>
    <x v="909"/>
    <n v="189446.35"/>
    <x v="912"/>
    <x v="3"/>
    <n v="39.332905287697898"/>
    <s v="High"/>
    <x v="6"/>
    <n v="2027"/>
  </r>
  <r>
    <s v="ORD0914"/>
    <d v="2027-12-13T00:00:00"/>
    <x v="0"/>
    <x v="4"/>
    <x v="3"/>
    <x v="8"/>
    <n v="32505"/>
    <x v="910"/>
    <n v="40957.410000000003"/>
    <x v="913"/>
    <x v="3"/>
    <n v="36.998292570373785"/>
    <s v="Low"/>
    <x v="6"/>
    <n v="2027"/>
  </r>
  <r>
    <s v="ORD0915"/>
    <d v="2027-12-14T00:00:00"/>
    <x v="3"/>
    <x v="2"/>
    <x v="1"/>
    <x v="6"/>
    <n v="11420"/>
    <x v="911"/>
    <n v="53750.400000000001"/>
    <x v="914"/>
    <x v="1"/>
    <n v="21.555166374781088"/>
    <s v="Low"/>
    <x v="6"/>
    <n v="2027"/>
  </r>
  <r>
    <s v="ORD0916"/>
    <d v="2027-12-15T00:00:00"/>
    <x v="3"/>
    <x v="1"/>
    <x v="1"/>
    <x v="8"/>
    <n v="35616"/>
    <x v="912"/>
    <n v="47314.01"/>
    <x v="915"/>
    <x v="2"/>
    <n v="33.577591531895777"/>
    <s v="Low"/>
    <x v="6"/>
    <n v="2027"/>
  </r>
  <r>
    <s v="ORD0917"/>
    <d v="2027-12-16T00:00:00"/>
    <x v="1"/>
    <x v="3"/>
    <x v="5"/>
    <x v="3"/>
    <n v="41431"/>
    <x v="913"/>
    <n v="136368.71"/>
    <x v="916"/>
    <x v="2"/>
    <n v="17.713360768506675"/>
    <s v="Medium"/>
    <x v="6"/>
    <n v="2027"/>
  </r>
  <r>
    <s v="ORD0918"/>
    <d v="2027-12-17T00:00:00"/>
    <x v="0"/>
    <x v="4"/>
    <x v="0"/>
    <x v="4"/>
    <n v="35303"/>
    <x v="914"/>
    <n v="262153.2"/>
    <x v="917"/>
    <x v="0"/>
    <n v="25.741948276350453"/>
    <s v="High"/>
    <x v="6"/>
    <n v="2027"/>
  </r>
  <r>
    <s v="ORD0919"/>
    <d v="2027-12-18T00:00:00"/>
    <x v="3"/>
    <x v="6"/>
    <x v="4"/>
    <x v="1"/>
    <n v="20154"/>
    <x v="915"/>
    <n v="132388.76999999999"/>
    <x v="918"/>
    <x v="3"/>
    <n v="27.012685653799085"/>
    <s v="Medium"/>
    <x v="6"/>
    <n v="2027"/>
  </r>
  <r>
    <s v="ORD0920"/>
    <d v="2027-12-19T00:00:00"/>
    <x v="0"/>
    <x v="1"/>
    <x v="4"/>
    <x v="4"/>
    <n v="34275"/>
    <x v="916"/>
    <n v="252253.23"/>
    <x v="919"/>
    <x v="1"/>
    <n v="26.403142231947484"/>
    <s v="High"/>
    <x v="6"/>
    <n v="2027"/>
  </r>
  <r>
    <s v="ORD0921"/>
    <d v="2027-12-20T00:00:00"/>
    <x v="2"/>
    <x v="5"/>
    <x v="5"/>
    <x v="3"/>
    <n v="43806"/>
    <x v="917"/>
    <n v="155710.20000000001"/>
    <x v="920"/>
    <x v="3"/>
    <n v="11.136488152307903"/>
    <s v="Medium"/>
    <x v="6"/>
    <n v="2027"/>
  </r>
  <r>
    <s v="ORD0922"/>
    <d v="2027-12-21T00:00:00"/>
    <x v="2"/>
    <x v="0"/>
    <x v="1"/>
    <x v="0"/>
    <n v="34727"/>
    <x v="918"/>
    <n v="22926.57"/>
    <x v="921"/>
    <x v="1"/>
    <n v="33.980562674575978"/>
    <s v="Low"/>
    <x v="6"/>
    <n v="2027"/>
  </r>
  <r>
    <s v="ORD0923"/>
    <d v="2027-12-22T00:00:00"/>
    <x v="1"/>
    <x v="6"/>
    <x v="1"/>
    <x v="2"/>
    <n v="29033"/>
    <x v="919"/>
    <n v="104965.63"/>
    <x v="922"/>
    <x v="3"/>
    <n v="27.692191643991322"/>
    <s v="Medium"/>
    <x v="6"/>
    <n v="2027"/>
  </r>
  <r>
    <s v="ORD0924"/>
    <d v="2027-12-23T00:00:00"/>
    <x v="0"/>
    <x v="2"/>
    <x v="4"/>
    <x v="9"/>
    <n v="17306"/>
    <x v="920"/>
    <n v="41848.839999999997"/>
    <x v="923"/>
    <x v="1"/>
    <n v="19.394352632998189"/>
    <s v="Low"/>
    <x v="6"/>
    <n v="2027"/>
  </r>
  <r>
    <s v="ORD0925"/>
    <d v="2027-12-24T00:00:00"/>
    <x v="3"/>
    <x v="7"/>
    <x v="2"/>
    <x v="3"/>
    <n v="2315"/>
    <x v="921"/>
    <n v="6238.24"/>
    <x v="924"/>
    <x v="3"/>
    <n v="32.632397408207346"/>
    <s v="Low"/>
    <x v="6"/>
    <n v="2027"/>
  </r>
  <r>
    <s v="ORD0926"/>
    <d v="2027-12-25T00:00:00"/>
    <x v="0"/>
    <x v="0"/>
    <x v="5"/>
    <x v="5"/>
    <n v="42896"/>
    <x v="922"/>
    <n v="261746.11"/>
    <x v="925"/>
    <x v="2"/>
    <n v="12.830330500346351"/>
    <s v="High"/>
    <x v="6"/>
    <n v="2027"/>
  </r>
  <r>
    <s v="ORD0927"/>
    <d v="2027-12-26T00:00:00"/>
    <x v="0"/>
    <x v="1"/>
    <x v="0"/>
    <x v="2"/>
    <n v="18704"/>
    <x v="923"/>
    <n v="74591.67"/>
    <x v="926"/>
    <x v="3"/>
    <n v="20.239873823781011"/>
    <s v="Low"/>
    <x v="6"/>
    <n v="2027"/>
  </r>
  <r>
    <s v="ORD0928"/>
    <d v="2027-12-27T00:00:00"/>
    <x v="1"/>
    <x v="2"/>
    <x v="0"/>
    <x v="8"/>
    <n v="21072"/>
    <x v="924"/>
    <n v="32892.550000000003"/>
    <x v="927"/>
    <x v="2"/>
    <n v="21.951997911921033"/>
    <s v="Low"/>
    <x v="6"/>
    <n v="2027"/>
  </r>
  <r>
    <s v="ORD0929"/>
    <d v="2027-12-28T00:00:00"/>
    <x v="0"/>
    <x v="6"/>
    <x v="1"/>
    <x v="8"/>
    <n v="26510"/>
    <x v="925"/>
    <n v="46813.94"/>
    <x v="928"/>
    <x v="0"/>
    <n v="11.705130139569974"/>
    <s v="Low"/>
    <x v="6"/>
    <n v="2027"/>
  </r>
  <r>
    <s v="ORD0930"/>
    <d v="2027-12-29T00:00:00"/>
    <x v="3"/>
    <x v="7"/>
    <x v="1"/>
    <x v="1"/>
    <n v="8406"/>
    <x v="926"/>
    <n v="57238.85"/>
    <x v="929"/>
    <x v="0"/>
    <n v="24.341277394453702"/>
    <s v="Low"/>
    <x v="6"/>
    <n v="2027"/>
  </r>
  <r>
    <s v="ORD0931"/>
    <d v="2027-12-30T00:00:00"/>
    <x v="2"/>
    <x v="6"/>
    <x v="3"/>
    <x v="8"/>
    <n v="21039"/>
    <x v="927"/>
    <n v="29403.51"/>
    <x v="930"/>
    <x v="3"/>
    <n v="30.121417367745611"/>
    <s v="Low"/>
    <x v="6"/>
    <n v="2027"/>
  </r>
  <r>
    <s v="ORD0932"/>
    <d v="2027-12-31T00:00:00"/>
    <x v="3"/>
    <x v="7"/>
    <x v="2"/>
    <x v="8"/>
    <n v="11978"/>
    <x v="928"/>
    <n v="15912.36"/>
    <x v="931"/>
    <x v="3"/>
    <n v="33.576723993988985"/>
    <s v="Low"/>
    <x v="6"/>
    <n v="2027"/>
  </r>
  <r>
    <s v="ORD0933"/>
    <d v="2028-01-01T00:00:00"/>
    <x v="1"/>
    <x v="4"/>
    <x v="3"/>
    <x v="0"/>
    <n v="32636"/>
    <x v="929"/>
    <n v="24804.7"/>
    <x v="932"/>
    <x v="3"/>
    <n v="23.995894104669691"/>
    <s v="Low"/>
    <x v="7"/>
    <n v="2028"/>
  </r>
  <r>
    <s v="ORD0934"/>
    <d v="2028-01-02T00:00:00"/>
    <x v="0"/>
    <x v="4"/>
    <x v="1"/>
    <x v="3"/>
    <n v="18701"/>
    <x v="930"/>
    <n v="64617.94"/>
    <x v="933"/>
    <x v="3"/>
    <n v="13.616999090957702"/>
    <s v="Low"/>
    <x v="7"/>
    <n v="2028"/>
  </r>
  <r>
    <s v="ORD0935"/>
    <d v="2028-01-03T00:00:00"/>
    <x v="1"/>
    <x v="1"/>
    <x v="4"/>
    <x v="0"/>
    <n v="42796"/>
    <x v="931"/>
    <n v="38090.22"/>
    <x v="934"/>
    <x v="1"/>
    <n v="10.995840732778763"/>
    <s v="Low"/>
    <x v="7"/>
    <n v="2028"/>
  </r>
  <r>
    <s v="ORD0936"/>
    <d v="2028-01-04T00:00:00"/>
    <x v="3"/>
    <x v="3"/>
    <x v="3"/>
    <x v="5"/>
    <n v="20768"/>
    <x v="932"/>
    <n v="115091.96"/>
    <x v="935"/>
    <x v="1"/>
    <n v="20.831526524323134"/>
    <s v="Medium"/>
    <x v="7"/>
    <n v="2028"/>
  </r>
  <r>
    <s v="ORD0937"/>
    <d v="2028-01-05T00:00:00"/>
    <x v="3"/>
    <x v="5"/>
    <x v="5"/>
    <x v="0"/>
    <n v="26254"/>
    <x v="933"/>
    <n v="23057.63"/>
    <x v="936"/>
    <x v="0"/>
    <n v="12.174792412584749"/>
    <s v="Low"/>
    <x v="7"/>
    <n v="2028"/>
  </r>
  <r>
    <s v="ORD0938"/>
    <d v="2028-01-06T00:00:00"/>
    <x v="3"/>
    <x v="2"/>
    <x v="4"/>
    <x v="3"/>
    <n v="11000"/>
    <x v="934"/>
    <n v="38489.760000000002"/>
    <x v="937"/>
    <x v="0"/>
    <n v="12.523272727272728"/>
    <s v="Low"/>
    <x v="7"/>
    <n v="2028"/>
  </r>
  <r>
    <s v="ORD0939"/>
    <d v="2028-01-07T00:00:00"/>
    <x v="3"/>
    <x v="2"/>
    <x v="0"/>
    <x v="7"/>
    <n v="31373"/>
    <x v="935"/>
    <n v="206078.59"/>
    <x v="938"/>
    <x v="0"/>
    <n v="17.891742103082269"/>
    <s v="High"/>
    <x v="7"/>
    <n v="2028"/>
  </r>
  <r>
    <s v="ORD0940"/>
    <d v="2028-01-08T00:00:00"/>
    <x v="2"/>
    <x v="4"/>
    <x v="1"/>
    <x v="2"/>
    <n v="33683"/>
    <x v="936"/>
    <n v="104402.17"/>
    <x v="939"/>
    <x v="3"/>
    <n v="38.008983760353885"/>
    <s v="Medium"/>
    <x v="7"/>
    <n v="2028"/>
  </r>
  <r>
    <s v="ORD0941"/>
    <d v="2028-01-09T00:00:00"/>
    <x v="2"/>
    <x v="0"/>
    <x v="0"/>
    <x v="0"/>
    <n v="42533"/>
    <x v="937"/>
    <n v="33706.46"/>
    <x v="940"/>
    <x v="0"/>
    <n v="20.752215926457108"/>
    <s v="Low"/>
    <x v="7"/>
    <n v="2028"/>
  </r>
  <r>
    <s v="ORD0942"/>
    <d v="2028-01-10T00:00:00"/>
    <x v="1"/>
    <x v="0"/>
    <x v="2"/>
    <x v="2"/>
    <n v="21060"/>
    <x v="938"/>
    <n v="81369.820000000007"/>
    <x v="941"/>
    <x v="1"/>
    <n v="22.725716999050334"/>
    <s v="Medium"/>
    <x v="7"/>
    <n v="2028"/>
  </r>
  <r>
    <s v="ORD0943"/>
    <d v="2028-01-11T00:00:00"/>
    <x v="3"/>
    <x v="7"/>
    <x v="1"/>
    <x v="9"/>
    <n v="39429"/>
    <x v="939"/>
    <n v="95306.91"/>
    <x v="942"/>
    <x v="3"/>
    <n v="19.427401151436761"/>
    <s v="Medium"/>
    <x v="7"/>
    <n v="2028"/>
  </r>
  <r>
    <s v="ORD0944"/>
    <d v="2028-01-12T00:00:00"/>
    <x v="3"/>
    <x v="5"/>
    <x v="4"/>
    <x v="9"/>
    <n v="45553"/>
    <x v="940"/>
    <n v="106307.87"/>
    <x v="943"/>
    <x v="1"/>
    <n v="22.209389795037282"/>
    <s v="Medium"/>
    <x v="7"/>
    <n v="2028"/>
  </r>
  <r>
    <s v="ORD0945"/>
    <d v="2028-01-13T00:00:00"/>
    <x v="2"/>
    <x v="6"/>
    <x v="5"/>
    <x v="6"/>
    <n v="12420"/>
    <x v="941"/>
    <n v="53508.959999999999"/>
    <x v="944"/>
    <x v="0"/>
    <n v="28.195169082125602"/>
    <s v="Low"/>
    <x v="7"/>
    <n v="2028"/>
  </r>
  <r>
    <s v="ORD0946"/>
    <d v="2028-01-14T00:00:00"/>
    <x v="1"/>
    <x v="7"/>
    <x v="3"/>
    <x v="4"/>
    <n v="41566"/>
    <x v="942"/>
    <n v="277915.34000000003"/>
    <x v="945"/>
    <x v="1"/>
    <n v="33.138781696578931"/>
    <s v="High"/>
    <x v="7"/>
    <n v="2028"/>
  </r>
  <r>
    <s v="ORD0947"/>
    <d v="2028-01-15T00:00:00"/>
    <x v="2"/>
    <x v="5"/>
    <x v="1"/>
    <x v="9"/>
    <n v="3762"/>
    <x v="603"/>
    <n v="8129.42"/>
    <x v="946"/>
    <x v="1"/>
    <n v="27.968988126882866"/>
    <s v="Low"/>
    <x v="7"/>
    <n v="2028"/>
  </r>
  <r>
    <s v="ORD0948"/>
    <d v="2028-01-16T00:00:00"/>
    <x v="2"/>
    <x v="7"/>
    <x v="4"/>
    <x v="9"/>
    <n v="37674"/>
    <x v="943"/>
    <n v="71792.160000000003"/>
    <x v="947"/>
    <x v="3"/>
    <n v="36.479481870786216"/>
    <s v="Medium"/>
    <x v="7"/>
    <n v="2028"/>
  </r>
  <r>
    <s v="ORD0949"/>
    <d v="2028-01-17T00:00:00"/>
    <x v="3"/>
    <x v="5"/>
    <x v="2"/>
    <x v="3"/>
    <n v="12987"/>
    <x v="944"/>
    <n v="45912.46"/>
    <x v="948"/>
    <x v="3"/>
    <n v="11.618426118426118"/>
    <s v="Low"/>
    <x v="7"/>
    <n v="2028"/>
  </r>
  <r>
    <s v="ORD0950"/>
    <d v="2028-01-18T00:00:00"/>
    <x v="3"/>
    <x v="6"/>
    <x v="2"/>
    <x v="5"/>
    <n v="14040"/>
    <x v="945"/>
    <n v="76660.84"/>
    <x v="949"/>
    <x v="3"/>
    <n v="21.997517297517298"/>
    <s v="Low"/>
    <x v="7"/>
    <n v="2028"/>
  </r>
  <r>
    <s v="ORD0951"/>
    <d v="2028-01-19T00:00:00"/>
    <x v="3"/>
    <x v="6"/>
    <x v="5"/>
    <x v="9"/>
    <n v="2385"/>
    <x v="946"/>
    <n v="4915.8999999999996"/>
    <x v="950"/>
    <x v="3"/>
    <n v="31.294199860237594"/>
    <s v="Low"/>
    <x v="7"/>
    <n v="2028"/>
  </r>
  <r>
    <s v="ORD0952"/>
    <d v="2028-01-20T00:00:00"/>
    <x v="1"/>
    <x v="1"/>
    <x v="4"/>
    <x v="4"/>
    <n v="45344"/>
    <x v="947"/>
    <n v="360108.75"/>
    <x v="951"/>
    <x v="3"/>
    <n v="20.582932692307693"/>
    <s v="High"/>
    <x v="7"/>
    <n v="2028"/>
  </r>
  <r>
    <s v="ORD0953"/>
    <d v="2028-01-21T00:00:00"/>
    <x v="2"/>
    <x v="2"/>
    <x v="4"/>
    <x v="5"/>
    <n v="45513"/>
    <x v="948"/>
    <n v="211437.79"/>
    <x v="952"/>
    <x v="2"/>
    <n v="33.633470499794413"/>
    <s v="High"/>
    <x v="7"/>
    <n v="2028"/>
  </r>
  <r>
    <s v="ORD0954"/>
    <d v="2028-01-22T00:00:00"/>
    <x v="0"/>
    <x v="7"/>
    <x v="0"/>
    <x v="1"/>
    <n v="4350"/>
    <x v="949"/>
    <n v="24102.06"/>
    <x v="953"/>
    <x v="2"/>
    <n v="38.436628352490423"/>
    <s v="Low"/>
    <x v="7"/>
    <n v="2028"/>
  </r>
  <r>
    <s v="ORD0955"/>
    <d v="2028-01-23T00:00:00"/>
    <x v="1"/>
    <x v="1"/>
    <x v="1"/>
    <x v="4"/>
    <n v="47002"/>
    <x v="950"/>
    <n v="387518.59"/>
    <x v="954"/>
    <x v="2"/>
    <n v="17.552744564061104"/>
    <s v="High"/>
    <x v="7"/>
    <n v="2028"/>
  </r>
  <r>
    <s v="ORD0956"/>
    <d v="2028-01-24T00:00:00"/>
    <x v="3"/>
    <x v="0"/>
    <x v="3"/>
    <x v="5"/>
    <n v="20325"/>
    <x v="951"/>
    <n v="127088.16"/>
    <x v="955"/>
    <x v="0"/>
    <n v="10.674285714285714"/>
    <s v="Medium"/>
    <x v="7"/>
    <n v="2028"/>
  </r>
  <r>
    <s v="ORD0957"/>
    <d v="2028-01-25T00:00:00"/>
    <x v="3"/>
    <x v="7"/>
    <x v="2"/>
    <x v="2"/>
    <n v="11632"/>
    <x v="952"/>
    <n v="43685.37"/>
    <x v="956"/>
    <x v="1"/>
    <n v="24.887603163686382"/>
    <s v="Low"/>
    <x v="7"/>
    <n v="2028"/>
  </r>
  <r>
    <s v="ORD0958"/>
    <d v="2028-01-26T00:00:00"/>
    <x v="1"/>
    <x v="4"/>
    <x v="4"/>
    <x v="1"/>
    <n v="28872"/>
    <x v="953"/>
    <n v="166962.4"/>
    <x v="957"/>
    <x v="0"/>
    <n v="35.746128505895754"/>
    <s v="High"/>
    <x v="7"/>
    <n v="2028"/>
  </r>
  <r>
    <s v="ORD0959"/>
    <d v="2028-01-27T00:00:00"/>
    <x v="2"/>
    <x v="5"/>
    <x v="5"/>
    <x v="2"/>
    <n v="49509"/>
    <x v="954"/>
    <n v="175305.84"/>
    <x v="958"/>
    <x v="2"/>
    <n v="29.182233533296976"/>
    <s v="High"/>
    <x v="7"/>
    <n v="2028"/>
  </r>
  <r>
    <s v="ORD0960"/>
    <d v="2028-01-28T00:00:00"/>
    <x v="0"/>
    <x v="4"/>
    <x v="4"/>
    <x v="1"/>
    <n v="21013"/>
    <x v="955"/>
    <n v="138193.96"/>
    <x v="959"/>
    <x v="3"/>
    <n v="26.926738474066319"/>
    <s v="Medium"/>
    <x v="7"/>
    <n v="2028"/>
  </r>
  <r>
    <s v="ORD0961"/>
    <d v="2028-01-29T00:00:00"/>
    <x v="1"/>
    <x v="6"/>
    <x v="3"/>
    <x v="7"/>
    <n v="3987"/>
    <x v="956"/>
    <n v="20945.34"/>
    <x v="960"/>
    <x v="1"/>
    <n v="34.332392776523704"/>
    <s v="Low"/>
    <x v="7"/>
    <n v="2028"/>
  </r>
  <r>
    <s v="ORD0962"/>
    <d v="2028-01-30T00:00:00"/>
    <x v="2"/>
    <x v="3"/>
    <x v="5"/>
    <x v="2"/>
    <n v="11218"/>
    <x v="957"/>
    <n v="45533.24"/>
    <x v="961"/>
    <x v="3"/>
    <n v="18.821108932073454"/>
    <s v="Low"/>
    <x v="7"/>
    <n v="2028"/>
  </r>
  <r>
    <s v="ORD0963"/>
    <d v="2028-01-31T00:00:00"/>
    <x v="2"/>
    <x v="7"/>
    <x v="5"/>
    <x v="6"/>
    <n v="46966"/>
    <x v="958"/>
    <n v="216491.57"/>
    <x v="962"/>
    <x v="0"/>
    <n v="23.174363724112478"/>
    <s v="High"/>
    <x v="7"/>
    <n v="2028"/>
  </r>
  <r>
    <s v="ORD0964"/>
    <d v="2028-02-01T00:00:00"/>
    <x v="3"/>
    <x v="0"/>
    <x v="0"/>
    <x v="6"/>
    <n v="6632"/>
    <x v="959"/>
    <n v="26307.29"/>
    <x v="963"/>
    <x v="1"/>
    <n v="33.88799256131886"/>
    <s v="Low"/>
    <x v="8"/>
    <n v="2028"/>
  </r>
  <r>
    <s v="ORD0965"/>
    <d v="2028-02-02T00:00:00"/>
    <x v="1"/>
    <x v="0"/>
    <x v="4"/>
    <x v="4"/>
    <n v="43959"/>
    <x v="960"/>
    <n v="340991.38"/>
    <x v="964"/>
    <x v="3"/>
    <n v="22.429677654177755"/>
    <s v="High"/>
    <x v="8"/>
    <n v="2028"/>
  </r>
  <r>
    <s v="ORD0966"/>
    <d v="2028-02-03T00:00:00"/>
    <x v="3"/>
    <x v="1"/>
    <x v="2"/>
    <x v="7"/>
    <n v="44861"/>
    <x v="961"/>
    <n v="225486.3"/>
    <x v="965"/>
    <x v="2"/>
    <n v="37.170844385992289"/>
    <s v="High"/>
    <x v="8"/>
    <n v="2028"/>
  </r>
  <r>
    <s v="ORD0967"/>
    <d v="2028-02-04T00:00:00"/>
    <x v="1"/>
    <x v="4"/>
    <x v="1"/>
    <x v="8"/>
    <n v="26332"/>
    <x v="962"/>
    <n v="37500.32"/>
    <x v="966"/>
    <x v="1"/>
    <n v="28.793255354701504"/>
    <s v="Low"/>
    <x v="8"/>
    <n v="2028"/>
  </r>
  <r>
    <s v="ORD0968"/>
    <d v="2028-02-05T00:00:00"/>
    <x v="2"/>
    <x v="5"/>
    <x v="0"/>
    <x v="7"/>
    <n v="46880"/>
    <x v="963"/>
    <n v="299230.09000000003"/>
    <x v="967"/>
    <x v="0"/>
    <n v="20.213819859215018"/>
    <s v="High"/>
    <x v="8"/>
    <n v="2028"/>
  </r>
  <r>
    <s v="ORD0969"/>
    <d v="2028-02-06T00:00:00"/>
    <x v="0"/>
    <x v="6"/>
    <x v="0"/>
    <x v="4"/>
    <n v="30194"/>
    <x v="964"/>
    <n v="210595.49"/>
    <x v="968"/>
    <x v="0"/>
    <n v="30.252536927866462"/>
    <s v="High"/>
    <x v="8"/>
    <n v="2028"/>
  </r>
  <r>
    <s v="ORD0970"/>
    <d v="2028-02-07T00:00:00"/>
    <x v="2"/>
    <x v="3"/>
    <x v="4"/>
    <x v="6"/>
    <n v="4139"/>
    <x v="965"/>
    <n v="20441.86"/>
    <x v="969"/>
    <x v="3"/>
    <n v="17.685995006845456"/>
    <s v="Low"/>
    <x v="8"/>
    <n v="2028"/>
  </r>
  <r>
    <s v="ORD0971"/>
    <d v="2028-02-08T00:00:00"/>
    <x v="0"/>
    <x v="0"/>
    <x v="2"/>
    <x v="3"/>
    <n v="26643"/>
    <x v="966"/>
    <n v="66794.69"/>
    <x v="970"/>
    <x v="3"/>
    <n v="37.324353488721243"/>
    <s v="Medium"/>
    <x v="8"/>
    <n v="2028"/>
  </r>
  <r>
    <s v="ORD0972"/>
    <d v="2028-02-09T00:00:00"/>
    <x v="2"/>
    <x v="5"/>
    <x v="4"/>
    <x v="9"/>
    <n v="8403"/>
    <x v="967"/>
    <n v="17383.22"/>
    <x v="971"/>
    <x v="1"/>
    <n v="31.043595541274943"/>
    <s v="Low"/>
    <x v="8"/>
    <n v="2028"/>
  </r>
  <r>
    <s v="ORD0973"/>
    <d v="2028-02-10T00:00:00"/>
    <x v="2"/>
    <x v="7"/>
    <x v="1"/>
    <x v="8"/>
    <n v="24581"/>
    <x v="968"/>
    <n v="37058.120000000003"/>
    <x v="972"/>
    <x v="3"/>
    <n v="24.620397868272242"/>
    <s v="Low"/>
    <x v="8"/>
    <n v="2028"/>
  </r>
  <r>
    <s v="ORD0974"/>
    <d v="2028-02-11T00:00:00"/>
    <x v="2"/>
    <x v="4"/>
    <x v="4"/>
    <x v="4"/>
    <n v="39843"/>
    <x v="969"/>
    <n v="289627.2"/>
    <x v="973"/>
    <x v="1"/>
    <n v="27.307883442511859"/>
    <s v="High"/>
    <x v="8"/>
    <n v="2028"/>
  </r>
  <r>
    <s v="ORD0975"/>
    <d v="2028-02-12T00:00:00"/>
    <x v="3"/>
    <x v="7"/>
    <x v="1"/>
    <x v="5"/>
    <n v="6591"/>
    <x v="970"/>
    <n v="28241.91"/>
    <x v="974"/>
    <x v="1"/>
    <n v="38.786852201053385"/>
    <s v="Low"/>
    <x v="8"/>
    <n v="2028"/>
  </r>
  <r>
    <s v="ORD0976"/>
    <d v="2028-02-13T00:00:00"/>
    <x v="1"/>
    <x v="5"/>
    <x v="1"/>
    <x v="9"/>
    <n v="32961"/>
    <x v="971"/>
    <n v="74971.47"/>
    <x v="975"/>
    <x v="3"/>
    <n v="24.181638906586571"/>
    <s v="Low"/>
    <x v="8"/>
    <n v="2028"/>
  </r>
  <r>
    <s v="ORD0977"/>
    <d v="2028-02-14T00:00:00"/>
    <x v="0"/>
    <x v="5"/>
    <x v="0"/>
    <x v="7"/>
    <n v="20186"/>
    <x v="972"/>
    <n v="104092.25"/>
    <x v="976"/>
    <x v="1"/>
    <n v="35.54180496383632"/>
    <s v="Medium"/>
    <x v="8"/>
    <n v="2028"/>
  </r>
  <r>
    <s v="ORD0978"/>
    <d v="2028-02-15T00:00:00"/>
    <x v="1"/>
    <x v="1"/>
    <x v="5"/>
    <x v="2"/>
    <n v="37759"/>
    <x v="973"/>
    <n v="115980.26"/>
    <x v="977"/>
    <x v="0"/>
    <n v="38.568150639582619"/>
    <s v="Medium"/>
    <x v="8"/>
    <n v="2028"/>
  </r>
  <r>
    <s v="ORD0979"/>
    <d v="2028-02-16T00:00:00"/>
    <x v="3"/>
    <x v="4"/>
    <x v="5"/>
    <x v="5"/>
    <n v="6692"/>
    <x v="974"/>
    <n v="34636.31"/>
    <x v="978"/>
    <x v="2"/>
    <n v="26.060306549398003"/>
    <s v="Low"/>
    <x v="8"/>
    <n v="2028"/>
  </r>
  <r>
    <s v="ORD0980"/>
    <d v="2028-02-17T00:00:00"/>
    <x v="2"/>
    <x v="0"/>
    <x v="0"/>
    <x v="1"/>
    <n v="1566"/>
    <x v="975"/>
    <n v="8938.14"/>
    <x v="979"/>
    <x v="1"/>
    <n v="36.581949765857807"/>
    <s v="Low"/>
    <x v="8"/>
    <n v="2028"/>
  </r>
  <r>
    <s v="ORD0981"/>
    <d v="2028-02-18T00:00:00"/>
    <x v="3"/>
    <x v="4"/>
    <x v="0"/>
    <x v="8"/>
    <n v="27779"/>
    <x v="976"/>
    <n v="47948.03"/>
    <x v="980"/>
    <x v="3"/>
    <n v="13.697343316894056"/>
    <s v="Low"/>
    <x v="8"/>
    <n v="2028"/>
  </r>
  <r>
    <s v="ORD0982"/>
    <d v="2028-02-19T00:00:00"/>
    <x v="0"/>
    <x v="6"/>
    <x v="5"/>
    <x v="4"/>
    <n v="17871"/>
    <x v="977"/>
    <n v="125525.96"/>
    <x v="981"/>
    <x v="1"/>
    <n v="29.759968664316489"/>
    <s v="Medium"/>
    <x v="8"/>
    <n v="2028"/>
  </r>
  <r>
    <s v="ORD0983"/>
    <d v="2028-02-20T00:00:00"/>
    <x v="1"/>
    <x v="2"/>
    <x v="1"/>
    <x v="4"/>
    <n v="17494"/>
    <x v="978"/>
    <n v="150708.14000000001"/>
    <x v="982"/>
    <x v="0"/>
    <n v="13.851526237567166"/>
    <s v="Medium"/>
    <x v="8"/>
    <n v="2028"/>
  </r>
  <r>
    <s v="ORD0984"/>
    <d v="2028-02-21T00:00:00"/>
    <x v="2"/>
    <x v="7"/>
    <x v="5"/>
    <x v="8"/>
    <n v="1371"/>
    <x v="979"/>
    <n v="1786.47"/>
    <x v="983"/>
    <x v="3"/>
    <n v="34.847921225382933"/>
    <s v="Low"/>
    <x v="8"/>
    <n v="2028"/>
  </r>
  <r>
    <s v="ORD0985"/>
    <d v="2028-02-22T00:00:00"/>
    <x v="3"/>
    <x v="2"/>
    <x v="1"/>
    <x v="4"/>
    <n v="48073"/>
    <x v="980"/>
    <n v="358632.63"/>
    <x v="984"/>
    <x v="2"/>
    <n v="25.398325463357807"/>
    <s v="High"/>
    <x v="8"/>
    <n v="2028"/>
  </r>
  <r>
    <s v="ORD0986"/>
    <d v="2028-02-23T00:00:00"/>
    <x v="1"/>
    <x v="6"/>
    <x v="2"/>
    <x v="9"/>
    <n v="1409"/>
    <x v="981"/>
    <n v="2778.16"/>
    <x v="985"/>
    <x v="0"/>
    <n v="34.27584575348947"/>
    <s v="Low"/>
    <x v="8"/>
    <n v="2028"/>
  </r>
  <r>
    <s v="ORD0987"/>
    <d v="2028-02-24T00:00:00"/>
    <x v="0"/>
    <x v="3"/>
    <x v="5"/>
    <x v="9"/>
    <n v="43081"/>
    <x v="982"/>
    <n v="86920.320000000007"/>
    <x v="986"/>
    <x v="2"/>
    <n v="32.746593625960401"/>
    <s v="Medium"/>
    <x v="8"/>
    <n v="2028"/>
  </r>
  <r>
    <s v="ORD0988"/>
    <d v="2028-02-25T00:00:00"/>
    <x v="0"/>
    <x v="0"/>
    <x v="2"/>
    <x v="7"/>
    <n v="28148"/>
    <x v="983"/>
    <n v="136584.24"/>
    <x v="987"/>
    <x v="3"/>
    <n v="39.345495239448624"/>
    <s v="High"/>
    <x v="8"/>
    <n v="2028"/>
  </r>
  <r>
    <s v="ORD0989"/>
    <d v="2028-02-26T00:00:00"/>
    <x v="0"/>
    <x v="5"/>
    <x v="5"/>
    <x v="0"/>
    <n v="29959"/>
    <x v="984"/>
    <n v="23235.24"/>
    <x v="988"/>
    <x v="3"/>
    <n v="22.443205714476452"/>
    <s v="Low"/>
    <x v="8"/>
    <n v="2028"/>
  </r>
  <r>
    <s v="ORD0990"/>
    <d v="2028-02-27T00:00:00"/>
    <x v="2"/>
    <x v="2"/>
    <x v="4"/>
    <x v="0"/>
    <n v="7228"/>
    <x v="985"/>
    <n v="5703.78"/>
    <x v="989"/>
    <x v="3"/>
    <n v="21.087714443829555"/>
    <s v="Low"/>
    <x v="8"/>
    <n v="2028"/>
  </r>
  <r>
    <s v="ORD0991"/>
    <d v="2028-02-28T00:00:00"/>
    <x v="2"/>
    <x v="7"/>
    <x v="3"/>
    <x v="1"/>
    <n v="19556"/>
    <x v="986"/>
    <n v="107556.95"/>
    <x v="990"/>
    <x v="3"/>
    <n v="38.889485466239407"/>
    <s v="Medium"/>
    <x v="8"/>
    <n v="2028"/>
  </r>
  <r>
    <s v="ORD0992"/>
    <d v="2028-02-29T00:00:00"/>
    <x v="3"/>
    <x v="3"/>
    <x v="1"/>
    <x v="0"/>
    <n v="35123"/>
    <x v="987"/>
    <n v="21274.21"/>
    <x v="991"/>
    <x v="2"/>
    <n v="39.429405233038182"/>
    <s v="Low"/>
    <x v="8"/>
    <n v="2028"/>
  </r>
  <r>
    <s v="ORD0993"/>
    <d v="2028-03-01T00:00:00"/>
    <x v="3"/>
    <x v="7"/>
    <x v="5"/>
    <x v="7"/>
    <n v="8163"/>
    <x v="988"/>
    <n v="48875.91"/>
    <x v="992"/>
    <x v="3"/>
    <n v="25.156330393237781"/>
    <s v="Low"/>
    <x v="9"/>
    <n v="2028"/>
  </r>
  <r>
    <s v="ORD0994"/>
    <d v="2028-03-02T00:00:00"/>
    <x v="3"/>
    <x v="7"/>
    <x v="2"/>
    <x v="2"/>
    <n v="48092"/>
    <x v="989"/>
    <n v="158141.01999999999"/>
    <x v="993"/>
    <x v="1"/>
    <n v="34.233959910172167"/>
    <s v="High"/>
    <x v="9"/>
    <n v="2028"/>
  </r>
  <r>
    <s v="ORD0995"/>
    <d v="2028-03-03T00:00:00"/>
    <x v="2"/>
    <x v="0"/>
    <x v="2"/>
    <x v="4"/>
    <n v="45390"/>
    <x v="990"/>
    <n v="318522.46000000002"/>
    <x v="994"/>
    <x v="2"/>
    <n v="29.825410883454506"/>
    <s v="High"/>
    <x v="9"/>
    <n v="2028"/>
  </r>
  <r>
    <s v="ORD0996"/>
    <d v="2028-03-04T00:00:00"/>
    <x v="0"/>
    <x v="6"/>
    <x v="5"/>
    <x v="6"/>
    <n v="31454"/>
    <x v="991"/>
    <n v="158514.29"/>
    <x v="995"/>
    <x v="2"/>
    <n v="16.007349356732583"/>
    <s v="Medium"/>
    <x v="9"/>
    <n v="2028"/>
  </r>
  <r>
    <s v="ORD0997"/>
    <d v="2028-03-05T00:00:00"/>
    <x v="0"/>
    <x v="6"/>
    <x v="1"/>
    <x v="8"/>
    <n v="44216"/>
    <x v="992"/>
    <n v="65870.070000000007"/>
    <x v="996"/>
    <x v="1"/>
    <n v="25.513309661660937"/>
    <s v="Low"/>
    <x v="9"/>
    <n v="2028"/>
  </r>
  <r>
    <s v="ORD0998"/>
    <d v="2028-03-06T00:00:00"/>
    <x v="2"/>
    <x v="5"/>
    <x v="5"/>
    <x v="8"/>
    <n v="27761"/>
    <x v="993"/>
    <n v="49021.279999999999"/>
    <x v="997"/>
    <x v="1"/>
    <n v="11.708367854183928"/>
    <s v="Low"/>
    <x v="9"/>
    <n v="2028"/>
  </r>
  <r>
    <s v="ORD0999"/>
    <d v="2028-03-07T00:00:00"/>
    <x v="3"/>
    <x v="4"/>
    <x v="3"/>
    <x v="0"/>
    <n v="1688"/>
    <x v="994"/>
    <n v="1194.49"/>
    <x v="998"/>
    <x v="1"/>
    <n v="29.236374407582939"/>
    <s v="Low"/>
    <x v="9"/>
    <n v="2028"/>
  </r>
  <r>
    <s v="ORD1000"/>
    <d v="2028-03-08T00:00:00"/>
    <x v="1"/>
    <x v="6"/>
    <x v="3"/>
    <x v="0"/>
    <n v="4672"/>
    <x v="995"/>
    <n v="3276.57"/>
    <x v="999"/>
    <x v="0"/>
    <n v="29.86793664383562"/>
    <s v="Low"/>
    <x v="9"/>
    <n v="20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7CAF54-1CBB-4B34-A66F-4504E73FD6E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rowHeaderCaption="Region-wise Sales">
  <location ref="A3:B8" firstHeaderRow="1" firstDataRow="1" firstDataCol="1"/>
  <pivotFields count="15">
    <pivotField showAll="0"/>
    <pivotField numFmtId="164" showAll="0"/>
    <pivotField axis="axisRow" showAll="0">
      <items count="5">
        <item x="3"/>
        <item x="1"/>
        <item x="0"/>
        <item x="2"/>
        <item t="default"/>
      </items>
    </pivotField>
    <pivotField showAll="0">
      <items count="9">
        <item x="1"/>
        <item x="7"/>
        <item x="5"/>
        <item x="4"/>
        <item x="6"/>
        <item x="3"/>
        <item x="0"/>
        <item x="2"/>
        <item t="default"/>
      </items>
    </pivotField>
    <pivotField showAll="0">
      <items count="7">
        <item x="1"/>
        <item x="4"/>
        <item x="0"/>
        <item x="5"/>
        <item x="2"/>
        <item x="3"/>
        <item t="default"/>
      </items>
    </pivotField>
    <pivotField numFmtId="2" showAll="0">
      <items count="11">
        <item x="0"/>
        <item x="8"/>
        <item x="9"/>
        <item x="3"/>
        <item x="2"/>
        <item x="6"/>
        <item x="5"/>
        <item x="7"/>
        <item x="1"/>
        <item x="4"/>
        <item t="default"/>
      </items>
    </pivotField>
    <pivotField numFmtId="166" showAll="0"/>
    <pivotField dataField="1" numFmtId="166" showAll="0" includeNewItemsInFilter="1" countASubtotal="1">
      <items count="997">
        <item x="170"/>
        <item x="322"/>
        <item x="994"/>
        <item x="171"/>
        <item x="786"/>
        <item x="513"/>
        <item x="658"/>
        <item x="979"/>
        <item x="715"/>
        <item x="280"/>
        <item x="126"/>
        <item x="60"/>
        <item x="847"/>
        <item x="819"/>
        <item x="981"/>
        <item x="524"/>
        <item x="806"/>
        <item x="637"/>
        <item x="153"/>
        <item x="3"/>
        <item x="995"/>
        <item x="889"/>
        <item x="587"/>
        <item x="106"/>
        <item x="165"/>
        <item x="365"/>
        <item x="311"/>
        <item x="699"/>
        <item x="783"/>
        <item x="683"/>
        <item x="946"/>
        <item x="510"/>
        <item x="985"/>
        <item x="203"/>
        <item x="547"/>
        <item x="746"/>
        <item x="243"/>
        <item x="716"/>
        <item x="595"/>
        <item x="397"/>
        <item x="672"/>
        <item x="424"/>
        <item x="622"/>
        <item x="151"/>
        <item x="782"/>
        <item x="150"/>
        <item x="921"/>
        <item x="532"/>
        <item x="868"/>
        <item x="96"/>
        <item x="766"/>
        <item x="759"/>
        <item x="702"/>
        <item x="460"/>
        <item x="560"/>
        <item x="592"/>
        <item x="502"/>
        <item x="388"/>
        <item x="22"/>
        <item x="603"/>
        <item x="571"/>
        <item x="710"/>
        <item x="272"/>
        <item x="368"/>
        <item x="734"/>
        <item x="29"/>
        <item x="881"/>
        <item x="498"/>
        <item x="623"/>
        <item x="655"/>
        <item x="575"/>
        <item x="975"/>
        <item x="75"/>
        <item x="204"/>
        <item x="18"/>
        <item x="374"/>
        <item x="624"/>
        <item x="421"/>
        <item x="455"/>
        <item x="375"/>
        <item x="40"/>
        <item x="495"/>
        <item x="23"/>
        <item x="295"/>
        <item x="399"/>
        <item x="130"/>
        <item x="770"/>
        <item x="877"/>
        <item x="570"/>
        <item x="5"/>
        <item x="880"/>
        <item x="53"/>
        <item x="386"/>
        <item x="719"/>
        <item x="271"/>
        <item x="737"/>
        <item x="312"/>
        <item x="139"/>
        <item x="541"/>
        <item x="808"/>
        <item x="149"/>
        <item x="45"/>
        <item x="147"/>
        <item x="686"/>
        <item x="410"/>
        <item x="259"/>
        <item x="138"/>
        <item x="771"/>
        <item x="436"/>
        <item x="751"/>
        <item x="891"/>
        <item x="142"/>
        <item x="135"/>
        <item x="387"/>
        <item x="79"/>
        <item x="554"/>
        <item x="674"/>
        <item x="636"/>
        <item x="876"/>
        <item x="219"/>
        <item x="905"/>
        <item x="704"/>
        <item x="838"/>
        <item x="210"/>
        <item x="500"/>
        <item x="497"/>
        <item x="928"/>
        <item x="700"/>
        <item x="659"/>
        <item x="190"/>
        <item x="598"/>
        <item x="965"/>
        <item x="634"/>
        <item x="856"/>
        <item x="803"/>
        <item x="967"/>
        <item x="689"/>
        <item x="530"/>
        <item x="323"/>
        <item x="44"/>
        <item x="440"/>
        <item x="933"/>
        <item x="25"/>
        <item x="288"/>
        <item x="244"/>
        <item x="676"/>
        <item x="305"/>
        <item x="405"/>
        <item x="540"/>
        <item x="714"/>
        <item x="504"/>
        <item x="282"/>
        <item x="552"/>
        <item x="99"/>
        <item x="7"/>
        <item x="669"/>
        <item x="80"/>
        <item x="403"/>
        <item x="824"/>
        <item x="586"/>
        <item x="572"/>
        <item x="342"/>
        <item x="984"/>
        <item x="197"/>
        <item x="656"/>
        <item x="879"/>
        <item x="97"/>
        <item x="37"/>
        <item x="413"/>
        <item x="173"/>
        <item x="452"/>
        <item x="773"/>
        <item x="831"/>
        <item x="393"/>
        <item x="956"/>
        <item x="191"/>
        <item x="568"/>
        <item x="929"/>
        <item x="600"/>
        <item x="401"/>
        <item x="772"/>
        <item x="851"/>
        <item x="391"/>
        <item x="606"/>
        <item x="515"/>
        <item x="508"/>
        <item x="226"/>
        <item x="551"/>
        <item x="337"/>
        <item x="619"/>
        <item x="496"/>
        <item x="799"/>
        <item x="784"/>
        <item x="918"/>
        <item x="338"/>
        <item x="77"/>
        <item x="396"/>
        <item x="987"/>
        <item x="233"/>
        <item x="390"/>
        <item x="482"/>
        <item x="908"/>
        <item x="762"/>
        <item x="416"/>
        <item x="779"/>
        <item x="528"/>
        <item x="639"/>
        <item x="614"/>
        <item x="794"/>
        <item x="400"/>
        <item x="558"/>
        <item x="94"/>
        <item x="810"/>
        <item x="816"/>
        <item x="230"/>
        <item x="358"/>
        <item x="791"/>
        <item x="167"/>
        <item x="360"/>
        <item x="761"/>
        <item x="463"/>
        <item x="32"/>
        <item x="645"/>
        <item x="738"/>
        <item x="239"/>
        <item x="382"/>
        <item x="949"/>
        <item x="92"/>
        <item x="186"/>
        <item x="814"/>
        <item x="815"/>
        <item x="959"/>
        <item x="470"/>
        <item x="220"/>
        <item x="174"/>
        <item x="283"/>
        <item x="882"/>
        <item x="708"/>
        <item x="415"/>
        <item x="478"/>
        <item x="181"/>
        <item x="407"/>
        <item x="927"/>
        <item x="924"/>
        <item x="325"/>
        <item x="154"/>
        <item x="937"/>
        <item x="385"/>
        <item x="931"/>
        <item x="320"/>
        <item x="340"/>
        <item x="487"/>
        <item x="441"/>
        <item x="934"/>
        <item x="26"/>
        <item x="483"/>
        <item x="516"/>
        <item x="630"/>
        <item x="140"/>
        <item x="318"/>
        <item x="489"/>
        <item x="826"/>
        <item x="970"/>
        <item x="14"/>
        <item x="974"/>
        <item x="544"/>
        <item x="666"/>
        <item x="217"/>
        <item x="222"/>
        <item x="100"/>
        <item x="596"/>
        <item x="0"/>
        <item x="968"/>
        <item x="127"/>
        <item x="34"/>
        <item x="62"/>
        <item x="76"/>
        <item x="395"/>
        <item x="357"/>
        <item x="196"/>
        <item x="748"/>
        <item x="48"/>
        <item x="484"/>
        <item x="743"/>
        <item x="13"/>
        <item x="439"/>
        <item x="178"/>
        <item x="920"/>
        <item x="687"/>
        <item x="944"/>
        <item x="67"/>
        <item x="27"/>
        <item x="449"/>
        <item x="962"/>
        <item x="925"/>
        <item x="270"/>
        <item x="103"/>
        <item x="364"/>
        <item x="68"/>
        <item x="993"/>
        <item x="976"/>
        <item x="720"/>
        <item x="1"/>
        <item x="287"/>
        <item x="957"/>
        <item x="724"/>
        <item x="373"/>
        <item x="137"/>
        <item x="19"/>
        <item x="722"/>
        <item x="774"/>
        <item x="313"/>
        <item x="159"/>
        <item x="878"/>
        <item x="125"/>
        <item x="952"/>
        <item x="175"/>
        <item x="849"/>
        <item x="757"/>
        <item x="324"/>
        <item x="274"/>
        <item x="409"/>
        <item x="875"/>
        <item x="615"/>
        <item x="229"/>
        <item x="224"/>
        <item x="832"/>
        <item x="907"/>
        <item x="749"/>
        <item x="792"/>
        <item x="793"/>
        <item x="629"/>
        <item x="114"/>
        <item x="888"/>
        <item x="180"/>
        <item x="108"/>
        <item x="352"/>
        <item x="569"/>
        <item x="286"/>
        <item x="871"/>
        <item x="146"/>
        <item x="910"/>
        <item x="988"/>
        <item x="642"/>
        <item x="499"/>
        <item x="884"/>
        <item x="550"/>
        <item x="317"/>
        <item x="268"/>
        <item x="830"/>
        <item x="184"/>
        <item x="433"/>
        <item x="643"/>
        <item x="873"/>
        <item x="911"/>
        <item x="78"/>
        <item x="432"/>
        <item x="579"/>
        <item x="620"/>
        <item x="867"/>
        <item x="294"/>
        <item x="581"/>
        <item x="741"/>
        <item x="641"/>
        <item x="454"/>
        <item x="712"/>
        <item x="276"/>
        <item x="206"/>
        <item x="38"/>
        <item x="188"/>
        <item x="177"/>
        <item x="850"/>
        <item x="480"/>
        <item x="912"/>
        <item x="709"/>
        <item x="840"/>
        <item x="602"/>
        <item x="506"/>
        <item x="797"/>
        <item x="281"/>
        <item x="292"/>
        <item x="778"/>
        <item x="445"/>
        <item x="740"/>
        <item x="821"/>
        <item x="225"/>
        <item x="431"/>
        <item x="148"/>
        <item x="166"/>
        <item x="613"/>
        <item x="941"/>
        <item x="378"/>
        <item x="930"/>
        <item x="858"/>
        <item x="346"/>
        <item x="477"/>
        <item x="667"/>
        <item x="266"/>
        <item x="852"/>
        <item x="926"/>
        <item x="812"/>
        <item x="321"/>
        <item x="93"/>
        <item x="49"/>
        <item x="402"/>
        <item x="208"/>
        <item x="437"/>
        <item x="101"/>
        <item x="514"/>
        <item x="701"/>
        <item x="680"/>
        <item x="91"/>
        <item x="348"/>
        <item x="182"/>
        <item x="894"/>
        <item x="112"/>
        <item x="334"/>
        <item x="742"/>
        <item x="827"/>
        <item x="248"/>
        <item x="122"/>
        <item x="492"/>
        <item x="846"/>
        <item x="414"/>
        <item x="41"/>
        <item x="194"/>
        <item x="696"/>
        <item x="141"/>
        <item x="790"/>
        <item x="787"/>
        <item x="684"/>
        <item x="582"/>
        <item x="844"/>
        <item x="308"/>
        <item x="183"/>
        <item x="567"/>
        <item x="264"/>
        <item x="777"/>
        <item x="471"/>
        <item x="703"/>
        <item x="835"/>
        <item x="992"/>
        <item x="351"/>
        <item x="218"/>
        <item x="349"/>
        <item x="134"/>
        <item x="278"/>
        <item x="4"/>
        <item x="15"/>
        <item x="16"/>
        <item x="507"/>
        <item x="116"/>
        <item x="236"/>
        <item x="854"/>
        <item x="73"/>
        <item x="293"/>
        <item x="231"/>
        <item x="564"/>
        <item x="612"/>
        <item x="822"/>
        <item x="923"/>
        <item x="813"/>
        <item x="330"/>
        <item x="408"/>
        <item x="456"/>
        <item x="640"/>
        <item x="200"/>
        <item x="823"/>
        <item x="221"/>
        <item x="199"/>
        <item x="660"/>
        <item x="557"/>
        <item x="258"/>
        <item x="36"/>
        <item x="805"/>
        <item x="727"/>
        <item x="584"/>
        <item x="756"/>
        <item x="945"/>
        <item x="534"/>
        <item x="573"/>
        <item x="971"/>
        <item x="297"/>
        <item x="845"/>
        <item x="588"/>
        <item x="315"/>
        <item x="735"/>
        <item x="84"/>
        <item x="646"/>
        <item x="665"/>
        <item x="776"/>
        <item x="903"/>
        <item x="326"/>
        <item x="370"/>
        <item x="279"/>
        <item x="353"/>
        <item x="216"/>
        <item x="366"/>
        <item x="938"/>
        <item x="605"/>
        <item x="394"/>
        <item x="966"/>
        <item x="760"/>
        <item x="30"/>
        <item x="617"/>
        <item x="89"/>
        <item x="304"/>
        <item x="110"/>
        <item x="627"/>
        <item x="202"/>
        <item x="688"/>
        <item x="723"/>
        <item x="901"/>
        <item x="690"/>
        <item x="469"/>
        <item x="423"/>
        <item x="943"/>
        <item x="164"/>
        <item x="371"/>
        <item x="904"/>
        <item x="828"/>
        <item x="86"/>
        <item x="616"/>
        <item x="51"/>
        <item x="695"/>
        <item x="775"/>
        <item x="260"/>
        <item x="223"/>
        <item x="752"/>
        <item x="426"/>
        <item x="333"/>
        <item x="50"/>
        <item x="331"/>
        <item x="807"/>
        <item x="632"/>
        <item x="372"/>
        <item x="939"/>
        <item x="450"/>
        <item x="520"/>
        <item x="857"/>
        <item x="833"/>
        <item x="212"/>
        <item x="465"/>
        <item x="429"/>
        <item x="198"/>
        <item x="537"/>
        <item x="866"/>
        <item x="347"/>
        <item x="56"/>
        <item x="215"/>
        <item x="817"/>
        <item x="277"/>
        <item x="562"/>
        <item x="344"/>
        <item x="300"/>
        <item x="789"/>
        <item x="442"/>
        <item x="9"/>
        <item x="381"/>
        <item x="145"/>
        <item x="621"/>
        <item x="556"/>
        <item x="736"/>
        <item x="839"/>
        <item x="764"/>
        <item x="982"/>
        <item x="472"/>
        <item x="795"/>
        <item x="42"/>
        <item x="859"/>
        <item x="473"/>
        <item x="626"/>
        <item x="597"/>
        <item x="380"/>
        <item x="811"/>
        <item x="61"/>
        <item x="885"/>
        <item x="296"/>
        <item x="172"/>
        <item x="535"/>
        <item x="250"/>
        <item x="883"/>
        <item x="187"/>
        <item x="798"/>
        <item x="345"/>
        <item x="290"/>
        <item x="28"/>
        <item x="74"/>
        <item x="58"/>
        <item x="818"/>
        <item x="246"/>
        <item x="940"/>
        <item x="425"/>
        <item x="379"/>
        <item x="111"/>
        <item x="706"/>
        <item x="785"/>
        <item x="864"/>
        <item x="628"/>
        <item x="341"/>
        <item x="115"/>
        <item x="647"/>
        <item x="362"/>
        <item x="834"/>
        <item x="201"/>
        <item x="327"/>
        <item x="951"/>
        <item x="781"/>
        <item x="698"/>
        <item x="711"/>
        <item x="355"/>
        <item x="682"/>
        <item x="919"/>
        <item x="608"/>
        <item x="932"/>
        <item x="176"/>
        <item x="545"/>
        <item x="88"/>
        <item x="47"/>
        <item x="610"/>
        <item x="66"/>
        <item x="694"/>
        <item x="343"/>
        <item x="546"/>
        <item x="543"/>
        <item x="664"/>
        <item x="377"/>
        <item x="895"/>
        <item x="316"/>
        <item x="661"/>
        <item x="417"/>
        <item x="679"/>
        <item x="119"/>
        <item x="485"/>
        <item x="644"/>
        <item x="129"/>
        <item x="309"/>
        <item x="31"/>
        <item x="758"/>
        <item x="542"/>
        <item x="476"/>
        <item x="329"/>
        <item x="95"/>
        <item x="631"/>
        <item x="796"/>
        <item x="829"/>
        <item x="726"/>
        <item x="420"/>
        <item x="855"/>
        <item x="157"/>
        <item x="788"/>
        <item x="531"/>
        <item x="10"/>
        <item x="55"/>
        <item x="972"/>
        <item x="653"/>
        <item x="261"/>
        <item x="113"/>
        <item x="117"/>
        <item x="131"/>
        <item x="897"/>
        <item x="491"/>
        <item x="453"/>
        <item x="754"/>
        <item x="273"/>
        <item x="906"/>
        <item x="566"/>
        <item x="913"/>
        <item x="241"/>
        <item x="232"/>
        <item x="376"/>
        <item x="765"/>
        <item x="872"/>
        <item x="936"/>
        <item x="253"/>
        <item x="729"/>
        <item x="406"/>
        <item x="511"/>
        <item x="607"/>
        <item x="82"/>
        <item x="692"/>
        <item x="90"/>
        <item x="332"/>
        <item x="565"/>
        <item x="412"/>
        <item x="457"/>
        <item x="444"/>
        <item x="860"/>
        <item x="589"/>
        <item x="383"/>
        <item x="493"/>
        <item x="750"/>
        <item x="590"/>
        <item x="207"/>
        <item x="978"/>
        <item x="917"/>
        <item x="21"/>
        <item x="986"/>
        <item x="466"/>
        <item x="8"/>
        <item x="512"/>
        <item x="536"/>
        <item x="479"/>
        <item x="234"/>
        <item x="977"/>
        <item x="464"/>
        <item x="314"/>
        <item x="356"/>
        <item x="120"/>
        <item x="521"/>
        <item x="526"/>
        <item x="601"/>
        <item x="915"/>
        <item x="652"/>
        <item x="369"/>
        <item x="755"/>
        <item x="865"/>
        <item x="418"/>
        <item x="87"/>
        <item x="583"/>
        <item x="213"/>
        <item x="991"/>
        <item x="973"/>
        <item x="955"/>
        <item x="361"/>
        <item x="555"/>
        <item x="289"/>
        <item x="104"/>
        <item x="848"/>
        <item x="298"/>
        <item x="625"/>
        <item x="214"/>
        <item x="451"/>
        <item x="475"/>
        <item x="673"/>
        <item x="887"/>
        <item x="160"/>
        <item x="732"/>
        <item x="256"/>
        <item x="745"/>
        <item x="870"/>
        <item x="434"/>
        <item x="299"/>
        <item x="802"/>
        <item x="675"/>
        <item x="161"/>
        <item x="900"/>
        <item x="678"/>
        <item x="143"/>
        <item x="604"/>
        <item x="707"/>
        <item x="767"/>
        <item x="235"/>
        <item x="422"/>
        <item x="533"/>
        <item x="251"/>
        <item x="563"/>
        <item x="367"/>
        <item x="744"/>
        <item x="168"/>
        <item x="733"/>
        <item x="24"/>
        <item x="162"/>
        <item x="121"/>
        <item x="59"/>
        <item x="983"/>
        <item x="713"/>
        <item x="435"/>
        <item x="71"/>
        <item x="525"/>
        <item x="255"/>
        <item x="522"/>
        <item x="890"/>
        <item x="363"/>
        <item x="527"/>
        <item x="240"/>
        <item x="265"/>
        <item x="869"/>
        <item x="247"/>
        <item x="257"/>
        <item x="677"/>
        <item x="663"/>
        <item x="98"/>
        <item x="205"/>
        <item x="242"/>
        <item x="902"/>
        <item x="419"/>
        <item x="461"/>
        <item x="211"/>
        <item x="65"/>
        <item x="474"/>
        <item x="132"/>
        <item x="989"/>
        <item x="721"/>
        <item x="237"/>
        <item x="717"/>
        <item x="6"/>
        <item x="693"/>
        <item x="459"/>
        <item x="389"/>
        <item x="503"/>
        <item x="553"/>
        <item x="303"/>
        <item x="195"/>
        <item x="284"/>
        <item x="307"/>
        <item x="12"/>
        <item x="954"/>
        <item x="54"/>
        <item x="446"/>
        <item x="691"/>
        <item x="70"/>
        <item x="935"/>
        <item x="192"/>
        <item x="731"/>
        <item x="252"/>
        <item x="263"/>
        <item x="285"/>
        <item x="209"/>
        <item x="578"/>
        <item x="291"/>
        <item x="538"/>
        <item x="953"/>
        <item x="354"/>
        <item x="443"/>
        <item x="899"/>
        <item x="319"/>
        <item x="430"/>
        <item x="548"/>
        <item x="158"/>
        <item x="302"/>
        <item x="842"/>
        <item x="670"/>
        <item x="33"/>
        <item x="843"/>
        <item x="662"/>
        <item x="193"/>
        <item x="57"/>
        <item x="768"/>
        <item x="896"/>
        <item x="245"/>
        <item x="69"/>
        <item x="427"/>
        <item x="874"/>
        <item x="593"/>
        <item x="411"/>
        <item x="306"/>
        <item x="804"/>
        <item x="350"/>
        <item x="63"/>
        <item x="863"/>
        <item x="228"/>
        <item x="958"/>
        <item x="359"/>
        <item x="262"/>
        <item x="156"/>
        <item x="853"/>
        <item x="124"/>
        <item x="128"/>
        <item x="523"/>
        <item x="649"/>
        <item x="46"/>
        <item x="481"/>
        <item x="52"/>
        <item x="118"/>
        <item x="633"/>
        <item x="20"/>
        <item x="654"/>
        <item x="43"/>
        <item x="105"/>
        <item x="267"/>
        <item x="428"/>
        <item x="136"/>
        <item x="488"/>
        <item x="494"/>
        <item x="462"/>
        <item x="486"/>
        <item x="861"/>
        <item x="11"/>
        <item x="189"/>
        <item x="549"/>
        <item x="529"/>
        <item x="310"/>
        <item x="922"/>
        <item x="501"/>
        <item x="964"/>
        <item x="820"/>
        <item x="438"/>
        <item x="509"/>
        <item x="800"/>
        <item x="81"/>
        <item x="909"/>
        <item x="505"/>
        <item x="328"/>
        <item x="574"/>
        <item x="948"/>
        <item x="539"/>
        <item x="335"/>
        <item x="836"/>
        <item x="599"/>
        <item x="518"/>
        <item x="384"/>
        <item x="109"/>
        <item x="893"/>
        <item x="169"/>
        <item x="404"/>
        <item x="609"/>
        <item x="275"/>
        <item x="763"/>
        <item x="144"/>
        <item x="635"/>
        <item x="398"/>
        <item x="681"/>
        <item x="448"/>
        <item x="769"/>
        <item x="64"/>
        <item x="517"/>
        <item x="238"/>
        <item x="862"/>
        <item x="585"/>
        <item x="668"/>
        <item x="227"/>
        <item x="916"/>
        <item x="458"/>
        <item x="594"/>
        <item x="914"/>
        <item x="152"/>
        <item x="72"/>
        <item x="892"/>
        <item x="577"/>
        <item x="961"/>
        <item x="898"/>
        <item x="2"/>
        <item x="837"/>
        <item x="580"/>
        <item x="809"/>
        <item x="17"/>
        <item x="185"/>
        <item x="671"/>
        <item x="651"/>
        <item x="638"/>
        <item x="490"/>
        <item x="467"/>
        <item x="657"/>
        <item x="963"/>
        <item x="561"/>
        <item x="728"/>
        <item x="825"/>
        <item x="301"/>
        <item x="780"/>
        <item x="648"/>
        <item x="753"/>
        <item x="83"/>
        <item x="107"/>
        <item x="801"/>
        <item x="254"/>
        <item x="618"/>
        <item x="747"/>
        <item x="705"/>
        <item x="35"/>
        <item x="576"/>
        <item x="969"/>
        <item x="179"/>
        <item x="519"/>
        <item x="739"/>
        <item x="468"/>
        <item x="85"/>
        <item x="841"/>
        <item x="730"/>
        <item x="447"/>
        <item x="725"/>
        <item x="650"/>
        <item x="942"/>
        <item x="591"/>
        <item x="718"/>
        <item x="39"/>
        <item x="155"/>
        <item x="886"/>
        <item x="336"/>
        <item x="697"/>
        <item x="102"/>
        <item x="960"/>
        <item x="392"/>
        <item x="269"/>
        <item x="163"/>
        <item x="947"/>
        <item x="990"/>
        <item x="133"/>
        <item x="611"/>
        <item x="339"/>
        <item x="123"/>
        <item x="950"/>
        <item x="980"/>
        <item x="685"/>
        <item x="559"/>
        <item x="249"/>
        <item t="countA"/>
      </items>
    </pivotField>
    <pivotField numFmtId="166" showAll="0"/>
    <pivotField numFmtId="166" showAll="0"/>
    <pivotField showAll="0"/>
    <pivotField numFmtId="2" showAll="0"/>
    <pivotField showAll="0"/>
    <pivotField showAll="0"/>
    <pivotField showAll="0"/>
  </pivotFields>
  <rowFields count="1">
    <field x="2"/>
  </rowFields>
  <rowItems count="5">
    <i>
      <x/>
    </i>
    <i>
      <x v="1"/>
    </i>
    <i>
      <x v="2"/>
    </i>
    <i>
      <x v="3"/>
    </i>
    <i t="grand">
      <x/>
    </i>
  </rowItems>
  <colItems count="1">
    <i/>
  </colItems>
  <dataFields count="1">
    <dataField name="Sum of Sales_Amount" fld="7" baseField="2" baseItem="0" numFmtId="166"/>
  </dataFields>
  <formats count="13">
    <format dxfId="13">
      <pivotArea field="2" type="button" dataOnly="0" labelOnly="1" outline="0" axis="axisRow" fieldPosition="0"/>
    </format>
    <format dxfId="12">
      <pivotArea dataOnly="0" labelOnly="1" outline="0" axis="axisValues" fieldPosition="0"/>
    </format>
    <format dxfId="11">
      <pivotArea grandRow="1" outline="0" collapsedLevelsAreSubtotals="1" fieldPosition="0"/>
    </format>
    <format dxfId="10">
      <pivotArea dataOnly="0" labelOnly="1" grandRow="1" outline="0" fieldPosition="0"/>
    </format>
    <format dxfId="9">
      <pivotArea collapsedLevelsAreSubtotals="1" fieldPosition="0">
        <references count="1">
          <reference field="2" count="0"/>
        </references>
      </pivotArea>
    </format>
    <format dxfId="8">
      <pivotArea dataOnly="0" labelOnly="1" fieldPosition="0">
        <references count="1">
          <reference field="2" count="0"/>
        </references>
      </pivotArea>
    </format>
    <format dxfId="7">
      <pivotArea type="all" dataOnly="0" outline="0" fieldPosition="0"/>
    </format>
    <format dxfId="6">
      <pivotArea outline="0" collapsedLevelsAreSubtotals="1" fieldPosition="0"/>
    </format>
    <format dxfId="5">
      <pivotArea dataOnly="0" labelOnly="1" grandRow="1" outline="0" fieldPosition="0"/>
    </format>
    <format dxfId="4">
      <pivotArea field="2" type="button" dataOnly="0" labelOnly="1" outline="0" axis="axisRow" fieldPosition="0"/>
    </format>
    <format dxfId="3">
      <pivotArea dataOnly="0" labelOnly="1" outline="0" axis="axisValues" fieldPosition="0"/>
    </format>
    <format dxfId="2">
      <pivotArea dataOnly="0" grandRow="1" fieldPosition="0"/>
    </format>
    <format dxfId="1">
      <pivotArea dataOnly="0" fieldPosition="0">
        <references count="1">
          <reference field="2" count="0"/>
        </references>
      </pivotArea>
    </format>
  </formats>
  <chartFormats count="4">
    <chartFormat chart="8"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52519C-846B-44F8-A3F8-75C19211C93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Monthly Sales Trend">
  <location ref="J3:K16" firstHeaderRow="1" firstDataRow="1" firstDataCol="1"/>
  <pivotFields count="15">
    <pivotField showAll="0"/>
    <pivotField numFmtId="164" showAll="0"/>
    <pivotField showAll="0"/>
    <pivotField showAll="0">
      <items count="9">
        <item x="1"/>
        <item x="7"/>
        <item x="5"/>
        <item x="4"/>
        <item x="6"/>
        <item x="3"/>
        <item x="0"/>
        <item x="2"/>
        <item t="default"/>
      </items>
    </pivotField>
    <pivotField showAll="0">
      <items count="7">
        <item x="1"/>
        <item x="4"/>
        <item x="0"/>
        <item x="5"/>
        <item x="2"/>
        <item x="3"/>
        <item t="default"/>
      </items>
    </pivotField>
    <pivotField numFmtId="2" showAll="0"/>
    <pivotField numFmtId="166" showAll="0"/>
    <pivotField dataField="1" numFmtId="166" showAll="0"/>
    <pivotField numFmtId="166" showAll="0"/>
    <pivotField numFmtId="166" showAll="0"/>
    <pivotField showAll="0"/>
    <pivotField numFmtId="2" showAll="0"/>
    <pivotField showAll="0"/>
    <pivotField axis="axisRow" showAll="0">
      <items count="13">
        <item x="7"/>
        <item x="8"/>
        <item x="9"/>
        <item x="10"/>
        <item x="11"/>
        <item x="0"/>
        <item x="1"/>
        <item x="2"/>
        <item x="3"/>
        <item x="4"/>
        <item x="5"/>
        <item x="6"/>
        <item t="default"/>
      </items>
    </pivotField>
    <pivotField showAll="0"/>
  </pivotFields>
  <rowFields count="1">
    <field x="13"/>
  </rowFields>
  <rowItems count="13">
    <i>
      <x/>
    </i>
    <i>
      <x v="1"/>
    </i>
    <i>
      <x v="2"/>
    </i>
    <i>
      <x v="3"/>
    </i>
    <i>
      <x v="4"/>
    </i>
    <i>
      <x v="5"/>
    </i>
    <i>
      <x v="6"/>
    </i>
    <i>
      <x v="7"/>
    </i>
    <i>
      <x v="8"/>
    </i>
    <i>
      <x v="9"/>
    </i>
    <i>
      <x v="10"/>
    </i>
    <i>
      <x v="11"/>
    </i>
    <i t="grand">
      <x/>
    </i>
  </rowItems>
  <colItems count="1">
    <i/>
  </colItems>
  <dataFields count="1">
    <dataField name="Sum of Sales_Amount" fld="7" baseField="0" baseItem="0" numFmtId="166"/>
  </dataFields>
  <formats count="13">
    <format dxfId="26">
      <pivotArea field="13" type="button" dataOnly="0" labelOnly="1" outline="0" axis="axisRow" fieldPosition="0"/>
    </format>
    <format dxfId="25">
      <pivotArea dataOnly="0" labelOnly="1" outline="0" axis="axisValues" fieldPosition="0"/>
    </format>
    <format dxfId="24">
      <pivotArea grandRow="1" outline="0" collapsedLevelsAreSubtotals="1" fieldPosition="0"/>
    </format>
    <format dxfId="23">
      <pivotArea dataOnly="0" labelOnly="1" grandRow="1" outline="0" fieldPosition="0"/>
    </format>
    <format dxfId="22">
      <pivotArea collapsedLevelsAreSubtotals="1" fieldPosition="0">
        <references count="1">
          <reference field="13" count="0"/>
        </references>
      </pivotArea>
    </format>
    <format dxfId="21">
      <pivotArea dataOnly="0" labelOnly="1" fieldPosition="0">
        <references count="1">
          <reference field="13" count="0"/>
        </references>
      </pivotArea>
    </format>
    <format dxfId="20">
      <pivotArea type="all" dataOnly="0" outline="0" fieldPosition="0"/>
    </format>
    <format dxfId="19">
      <pivotArea outline="0" collapsedLevelsAreSubtotals="1" fieldPosition="0"/>
    </format>
    <format dxfId="18">
      <pivotArea dataOnly="0" labelOnly="1" grandRow="1" outline="0" fieldPosition="0"/>
    </format>
    <format dxfId="17">
      <pivotArea field="13" type="button" dataOnly="0" labelOnly="1" outline="0" axis="axisRow" fieldPosition="0"/>
    </format>
    <format dxfId="16">
      <pivotArea dataOnly="0" labelOnly="1" outline="0" axis="axisValues" fieldPosition="0"/>
    </format>
    <format dxfId="15">
      <pivotArea dataOnly="0" grandRow="1" fieldPosition="0"/>
    </format>
    <format dxfId="14">
      <pivotArea dataOnly="0" fieldPosition="0">
        <references count="1">
          <reference field="13" count="0"/>
        </references>
      </pivotArea>
    </format>
  </formats>
  <chartFormats count="2">
    <chartFormat chart="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C2C3BC-0DE8-4D56-9566-FC58519C488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alesperson Performance">
  <location ref="G3:H12" firstHeaderRow="1" firstDataRow="1" firstDataCol="1"/>
  <pivotFields count="15">
    <pivotField showAll="0"/>
    <pivotField numFmtId="164" showAll="0"/>
    <pivotField showAll="0"/>
    <pivotField axis="axisRow" showAll="0">
      <items count="9">
        <item x="1"/>
        <item x="7"/>
        <item x="5"/>
        <item x="4"/>
        <item x="6"/>
        <item x="3"/>
        <item x="0"/>
        <item x="2"/>
        <item t="default"/>
      </items>
    </pivotField>
    <pivotField showAll="0">
      <items count="7">
        <item x="1"/>
        <item x="4"/>
        <item x="0"/>
        <item x="5"/>
        <item x="2"/>
        <item x="3"/>
        <item t="default"/>
      </items>
    </pivotField>
    <pivotField numFmtId="2" showAll="0"/>
    <pivotField numFmtId="166" showAll="0"/>
    <pivotField dataField="1" numFmtId="166" showAll="0"/>
    <pivotField numFmtId="166" showAll="0"/>
    <pivotField numFmtId="166" showAll="0"/>
    <pivotField showAll="0"/>
    <pivotField numFmtId="2"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Sum of Sales_Amount" fld="7" baseField="0" baseItem="0" numFmtId="166"/>
  </dataFields>
  <formats count="12">
    <format dxfId="38">
      <pivotArea field="3" type="button" dataOnly="0" labelOnly="1" outline="0" axis="axisRow" fieldPosition="0"/>
    </format>
    <format dxfId="37">
      <pivotArea dataOnly="0" labelOnly="1" outline="0" axis="axisValues" fieldPosition="0"/>
    </format>
    <format dxfId="36">
      <pivotArea grandRow="1" outline="0" collapsedLevelsAreSubtotals="1" fieldPosition="0"/>
    </format>
    <format dxfId="35">
      <pivotArea dataOnly="0" labelOnly="1" grandRow="1" outline="0" fieldPosition="0"/>
    </format>
    <format dxfId="34">
      <pivotArea dataOnly="0" fieldPosition="0">
        <references count="1">
          <reference field="3" count="0"/>
        </references>
      </pivotArea>
    </format>
    <format dxfId="33">
      <pivotArea type="all" dataOnly="0" outline="0" fieldPosition="0"/>
    </format>
    <format dxfId="32">
      <pivotArea outline="0" collapsedLevelsAreSubtotals="1" fieldPosition="0"/>
    </format>
    <format dxfId="31">
      <pivotArea field="3" type="button" dataOnly="0" labelOnly="1" outline="0" axis="axisRow" fieldPosition="0"/>
    </format>
    <format dxfId="30">
      <pivotArea dataOnly="0" labelOnly="1" outline="0" axis="axisValues" fieldPosition="0"/>
    </format>
    <format dxfId="29">
      <pivotArea grandRow="1" outline="0" collapsedLevelsAreSubtotals="1" fieldPosition="0"/>
    </format>
    <format dxfId="28">
      <pivotArea dataOnly="0" labelOnly="1" grandRow="1" outline="0" fieldPosition="0"/>
    </format>
    <format dxfId="27">
      <pivotArea dataOnly="0" fieldPosition="0">
        <references count="1">
          <reference field="3" count="0"/>
        </references>
      </pivotArea>
    </format>
  </formats>
  <chartFormats count="3">
    <chartFormat chart="11"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E348E7-0491-43EB-9193-A275AC4F42E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3:N8" firstHeaderRow="1" firstDataRow="1" firstDataCol="1"/>
  <pivotFields count="15">
    <pivotField showAll="0"/>
    <pivotField numFmtId="164" showAll="0"/>
    <pivotField showAll="0"/>
    <pivotField showAll="0"/>
    <pivotField showAll="0"/>
    <pivotField numFmtId="2" showAll="0"/>
    <pivotField numFmtId="166" showAll="0"/>
    <pivotField dataField="1" numFmtId="166" showAll="0"/>
    <pivotField numFmtId="166" showAll="0"/>
    <pivotField numFmtId="166" showAll="0"/>
    <pivotField axis="axisRow" showAll="0">
      <items count="5">
        <item x="1"/>
        <item x="2"/>
        <item x="3"/>
        <item x="0"/>
        <item t="default"/>
      </items>
    </pivotField>
    <pivotField numFmtId="2" showAll="0"/>
    <pivotField showAll="0"/>
    <pivotField showAll="0"/>
    <pivotField showAll="0"/>
  </pivotFields>
  <rowFields count="1">
    <field x="10"/>
  </rowFields>
  <rowItems count="5">
    <i>
      <x/>
    </i>
    <i>
      <x v="1"/>
    </i>
    <i>
      <x v="2"/>
    </i>
    <i>
      <x v="3"/>
    </i>
    <i t="grand">
      <x/>
    </i>
  </rowItems>
  <colItems count="1">
    <i/>
  </colItems>
  <dataFields count="1">
    <dataField name="Sum of Sales_Amount" fld="7" baseField="0" baseItem="0" numFmtId="166"/>
  </dataFields>
  <formats count="4">
    <format dxfId="42">
      <pivotArea field="10" type="button" dataOnly="0" labelOnly="1" outline="0" axis="axisRow" fieldPosition="0"/>
    </format>
    <format dxfId="41">
      <pivotArea dataOnly="0" labelOnly="1" outline="0" axis="axisValues" fieldPosition="0"/>
    </format>
    <format dxfId="40">
      <pivotArea dataOnly="0" grandRow="1" fieldPosition="0"/>
    </format>
    <format dxfId="39">
      <pivotArea dataOnly="0" fieldPosition="0">
        <references count="1">
          <reference field="10" count="0"/>
        </references>
      </pivotArea>
    </format>
  </formats>
  <chartFormats count="1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0" count="1" selected="0">
            <x v="0"/>
          </reference>
        </references>
      </pivotArea>
    </chartFormat>
    <chartFormat chart="2" format="2">
      <pivotArea type="data" outline="0" fieldPosition="0">
        <references count="2">
          <reference field="4294967294" count="1" selected="0">
            <x v="0"/>
          </reference>
          <reference field="10" count="1" selected="0">
            <x v="1"/>
          </reference>
        </references>
      </pivotArea>
    </chartFormat>
    <chartFormat chart="2" format="3">
      <pivotArea type="data" outline="0" fieldPosition="0">
        <references count="2">
          <reference field="4294967294" count="1" selected="0">
            <x v="0"/>
          </reference>
          <reference field="10" count="1" selected="0">
            <x v="2"/>
          </reference>
        </references>
      </pivotArea>
    </chartFormat>
    <chartFormat chart="2" format="4">
      <pivotArea type="data" outline="0" fieldPosition="0">
        <references count="2">
          <reference field="4294967294" count="1" selected="0">
            <x v="0"/>
          </reference>
          <reference field="10" count="1" selected="0">
            <x v="3"/>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0" count="1" selected="0">
            <x v="0"/>
          </reference>
        </references>
      </pivotArea>
    </chartFormat>
    <chartFormat chart="5" format="7">
      <pivotArea type="data" outline="0" fieldPosition="0">
        <references count="2">
          <reference field="4294967294" count="1" selected="0">
            <x v="0"/>
          </reference>
          <reference field="10" count="1" selected="0">
            <x v="1"/>
          </reference>
        </references>
      </pivotArea>
    </chartFormat>
    <chartFormat chart="5" format="8">
      <pivotArea type="data" outline="0" fieldPosition="0">
        <references count="2">
          <reference field="4294967294" count="1" selected="0">
            <x v="0"/>
          </reference>
          <reference field="10" count="1" selected="0">
            <x v="2"/>
          </reference>
        </references>
      </pivotArea>
    </chartFormat>
    <chartFormat chart="5" format="9">
      <pivotArea type="data" outline="0" fieldPosition="0">
        <references count="2">
          <reference field="4294967294" count="1" selected="0">
            <x v="0"/>
          </reference>
          <reference field="10"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0" count="1" selected="0">
            <x v="0"/>
          </reference>
        </references>
      </pivotArea>
    </chartFormat>
    <chartFormat chart="6" format="12">
      <pivotArea type="data" outline="0" fieldPosition="0">
        <references count="2">
          <reference field="4294967294" count="1" selected="0">
            <x v="0"/>
          </reference>
          <reference field="10" count="1" selected="0">
            <x v="1"/>
          </reference>
        </references>
      </pivotArea>
    </chartFormat>
    <chartFormat chart="6" format="13">
      <pivotArea type="data" outline="0" fieldPosition="0">
        <references count="2">
          <reference field="4294967294" count="1" selected="0">
            <x v="0"/>
          </reference>
          <reference field="10" count="1" selected="0">
            <x v="2"/>
          </reference>
        </references>
      </pivotArea>
    </chartFormat>
    <chartFormat chart="6" format="1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2F00AD-8C8C-47F0-85BD-C3E384CD2C3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Product-wise Profit">
  <location ref="D3:E10" firstHeaderRow="1" firstDataRow="1" firstDataCol="1"/>
  <pivotFields count="15">
    <pivotField showAll="0"/>
    <pivotField numFmtId="164" showAll="0"/>
    <pivotField showAll="0">
      <items count="5">
        <item x="3"/>
        <item x="1"/>
        <item x="0"/>
        <item x="2"/>
        <item t="default"/>
      </items>
    </pivotField>
    <pivotField showAll="0">
      <items count="9">
        <item x="1"/>
        <item x="7"/>
        <item x="5"/>
        <item x="4"/>
        <item x="6"/>
        <item x="3"/>
        <item x="0"/>
        <item x="2"/>
        <item t="default"/>
      </items>
    </pivotField>
    <pivotField axis="axisRow" showAll="0">
      <items count="7">
        <item x="1"/>
        <item x="4"/>
        <item x="0"/>
        <item x="5"/>
        <item x="2"/>
        <item x="3"/>
        <item t="default"/>
      </items>
    </pivotField>
    <pivotField numFmtId="2" showAll="0"/>
    <pivotField numFmtId="166" showAll="0"/>
    <pivotField numFmtId="166" showAll="0"/>
    <pivotField numFmtId="166" showAll="0"/>
    <pivotField dataField="1" numFmtId="166" showAll="0">
      <items count="1001">
        <item x="322"/>
        <item x="658"/>
        <item x="170"/>
        <item x="153"/>
        <item x="998"/>
        <item x="171"/>
        <item x="849"/>
        <item x="280"/>
        <item x="716"/>
        <item x="788"/>
        <item x="513"/>
        <item x="3"/>
        <item x="821"/>
        <item x="785"/>
        <item x="365"/>
        <item x="983"/>
        <item x="587"/>
        <item x="673"/>
        <item x="126"/>
        <item x="637"/>
        <item x="700"/>
        <item x="165"/>
        <item x="60"/>
        <item x="524"/>
        <item x="703"/>
        <item x="999"/>
        <item x="29"/>
        <item x="985"/>
        <item x="808"/>
        <item x="989"/>
        <item x="151"/>
        <item x="622"/>
        <item x="717"/>
        <item x="771"/>
        <item x="547"/>
        <item x="891"/>
        <item x="767"/>
        <item x="311"/>
        <item x="498"/>
        <item x="510"/>
        <item x="760"/>
        <item x="243"/>
        <item x="142"/>
        <item x="684"/>
        <item x="747"/>
        <item x="106"/>
        <item x="560"/>
        <item x="259"/>
        <item x="603"/>
        <item x="950"/>
        <item x="495"/>
        <item x="397"/>
        <item x="203"/>
        <item x="45"/>
        <item x="75"/>
        <item x="879"/>
        <item x="22"/>
        <item x="595"/>
        <item x="455"/>
        <item x="149"/>
        <item x="893"/>
        <item x="40"/>
        <item x="96"/>
        <item x="782"/>
        <item x="424"/>
        <item x="784"/>
        <item x="460"/>
        <item x="388"/>
        <item x="530"/>
        <item x="810"/>
        <item x="738"/>
        <item x="204"/>
        <item x="924"/>
        <item x="5"/>
        <item x="97"/>
        <item x="946"/>
        <item x="53"/>
        <item x="936"/>
        <item x="711"/>
        <item x="497"/>
        <item x="532"/>
        <item x="655"/>
        <item x="575"/>
        <item x="138"/>
        <item x="421"/>
        <item x="135"/>
        <item x="870"/>
        <item x="226"/>
        <item x="772"/>
        <item x="375"/>
        <item x="150"/>
        <item x="571"/>
        <item x="399"/>
        <item x="173"/>
        <item x="735"/>
        <item x="44"/>
        <item x="908"/>
        <item x="780"/>
        <item x="272"/>
        <item x="502"/>
        <item x="592"/>
        <item x="515"/>
        <item x="387"/>
        <item x="139"/>
        <item x="130"/>
        <item x="969"/>
        <item x="312"/>
        <item x="374"/>
        <item x="368"/>
        <item x="882"/>
        <item x="624"/>
        <item x="934"/>
        <item x="391"/>
        <item x="79"/>
        <item x="282"/>
        <item x="396"/>
        <item x="883"/>
        <item x="705"/>
        <item x="295"/>
        <item x="271"/>
        <item x="675"/>
        <item x="801"/>
        <item x="660"/>
        <item x="197"/>
        <item x="623"/>
        <item x="979"/>
        <item x="18"/>
        <item x="80"/>
        <item x="749"/>
        <item x="937"/>
        <item x="154"/>
        <item x="230"/>
        <item x="386"/>
        <item x="659"/>
        <item x="630"/>
        <item x="833"/>
        <item x="721"/>
        <item x="544"/>
        <item x="403"/>
        <item x="23"/>
        <item x="99"/>
        <item x="440"/>
        <item x="948"/>
        <item x="125"/>
        <item x="244"/>
        <item x="928"/>
        <item x="720"/>
        <item x="793"/>
        <item x="645"/>
        <item x="570"/>
        <item x="186"/>
        <item x="687"/>
        <item x="997"/>
        <item x="37"/>
        <item x="390"/>
        <item x="540"/>
        <item x="500"/>
        <item x="541"/>
        <item x="217"/>
        <item x="274"/>
        <item x="988"/>
        <item x="636"/>
        <item x="554"/>
        <item x="32"/>
        <item x="323"/>
        <item x="410"/>
        <item x="598"/>
        <item x="452"/>
        <item x="62"/>
        <item x="48"/>
        <item x="146"/>
        <item x="233"/>
        <item x="114"/>
        <item x="496"/>
        <item x="619"/>
        <item x="586"/>
        <item x="288"/>
        <item x="320"/>
        <item x="878"/>
        <item x="210"/>
        <item x="147"/>
        <item x="281"/>
        <item x="167"/>
        <item x="313"/>
        <item x="190"/>
        <item x="805"/>
        <item x="613"/>
        <item x="752"/>
        <item x="980"/>
        <item x="286"/>
        <item x="656"/>
        <item x="600"/>
        <item x="910"/>
        <item x="325"/>
        <item x="487"/>
        <item x="572"/>
        <item x="596"/>
        <item x="436"/>
        <item x="971"/>
        <item x="932"/>
        <item x="516"/>
        <item x="337"/>
        <item x="709"/>
        <item x="283"/>
        <item x="931"/>
        <item x="219"/>
        <item x="884"/>
        <item x="7"/>
        <item x="103"/>
        <item x="816"/>
        <item x="677"/>
        <item x="774"/>
        <item x="723"/>
        <item x="840"/>
        <item x="175"/>
        <item x="773"/>
        <item x="762"/>
        <item x="639"/>
        <item x="715"/>
        <item x="690"/>
        <item x="431"/>
        <item x="415"/>
        <item x="940"/>
        <item x="552"/>
        <item x="880"/>
        <item x="634"/>
        <item x="13"/>
        <item x="858"/>
        <item x="140"/>
        <item x="701"/>
        <item x="357"/>
        <item x="77"/>
        <item x="26"/>
        <item x="342"/>
        <item x="393"/>
        <item x="266"/>
        <item x="194"/>
        <item x="670"/>
        <item x="927"/>
        <item x="352"/>
        <item x="568"/>
        <item x="886"/>
        <item x="38"/>
        <item x="851"/>
        <item x="34"/>
        <item x="305"/>
        <item x="606"/>
        <item x="405"/>
        <item x="297"/>
        <item x="25"/>
        <item x="112"/>
        <item x="318"/>
        <item x="358"/>
        <item x="923"/>
        <item x="614"/>
        <item x="933"/>
        <item x="564"/>
        <item x="385"/>
        <item x="826"/>
        <item x="688"/>
        <item x="477"/>
        <item x="828"/>
        <item x="961"/>
        <item x="615"/>
        <item x="506"/>
        <item x="270"/>
        <item x="413"/>
        <item x="504"/>
        <item x="231"/>
        <item x="373"/>
        <item x="911"/>
        <item x="881"/>
        <item x="181"/>
        <item x="853"/>
        <item x="960"/>
        <item x="470"/>
        <item x="304"/>
        <item x="856"/>
        <item x="360"/>
        <item x="471"/>
        <item x="174"/>
        <item x="786"/>
        <item x="116"/>
        <item x="508"/>
        <item x="366"/>
        <item x="353"/>
        <item x="122"/>
        <item x="617"/>
        <item x="94"/>
        <item x="739"/>
        <item x="689"/>
        <item x="293"/>
        <item x="338"/>
        <item x="317"/>
        <item x="223"/>
        <item x="742"/>
        <item x="558"/>
        <item x="921"/>
        <item x="757"/>
        <item x="514"/>
        <item x="127"/>
        <item x="191"/>
        <item x="482"/>
        <item x="268"/>
        <item x="972"/>
        <item x="478"/>
        <item x="15"/>
        <item x="818"/>
        <item x="480"/>
        <item x="978"/>
        <item x="704"/>
        <item x="400"/>
        <item x="1"/>
        <item x="395"/>
        <item x="551"/>
        <item x="830"/>
        <item x="569"/>
        <item x="930"/>
        <item x="401"/>
        <item x="484"/>
        <item x="51"/>
        <item x="141"/>
        <item x="202"/>
        <item x="433"/>
        <item x="423"/>
        <item x="346"/>
        <item x="713"/>
        <item x="92"/>
        <item x="324"/>
        <item x="9"/>
        <item x="812"/>
        <item x="364"/>
        <item x="14"/>
        <item x="416"/>
        <item x="963"/>
        <item x="441"/>
        <item x="817"/>
        <item x="642"/>
        <item x="184"/>
        <item x="30"/>
        <item x="991"/>
        <item x="208"/>
        <item x="641"/>
        <item x="456"/>
        <item x="437"/>
        <item x="869"/>
        <item x="829"/>
        <item x="796"/>
        <item x="321"/>
        <item x="220"/>
        <item x="728"/>
        <item x="763"/>
        <item x="725"/>
        <item x="528"/>
        <item x="439"/>
        <item x="837"/>
        <item x="432"/>
        <item x="239"/>
        <item x="956"/>
        <item x="101"/>
        <item x="842"/>
        <item x="914"/>
        <item x="382"/>
        <item x="454"/>
        <item x="84"/>
        <item x="463"/>
        <item x="953"/>
        <item x="78"/>
        <item x="890"/>
        <item x="834"/>
        <item x="685"/>
        <item x="966"/>
        <item x="955"/>
        <item x="68"/>
        <item x="378"/>
        <item x="824"/>
        <item x="407"/>
        <item x="0"/>
        <item x="229"/>
        <item x="340"/>
        <item x="573"/>
        <item x="41"/>
        <item x="813"/>
        <item x="198"/>
        <item x="794"/>
        <item x="992"/>
        <item x="791"/>
        <item x="206"/>
        <item x="489"/>
        <item x="180"/>
        <item x="445"/>
        <item x="222"/>
        <item x="873"/>
        <item x="212"/>
        <item x="420"/>
        <item x="666"/>
        <item x="621"/>
        <item x="90"/>
        <item x="100"/>
        <item x="315"/>
        <item x="225"/>
        <item x="177"/>
        <item x="582"/>
        <item x="178"/>
        <item x="483"/>
        <item x="974"/>
        <item x="248"/>
        <item x="27"/>
        <item x="473"/>
        <item x="47"/>
        <item x="182"/>
        <item x="896"/>
        <item x="744"/>
        <item x="137"/>
        <item x="145"/>
        <item x="929"/>
        <item x="626"/>
        <item x="605"/>
        <item x="108"/>
        <item x="218"/>
        <item x="28"/>
        <item x="276"/>
        <item x="134"/>
        <item x="750"/>
        <item x="67"/>
        <item x="695"/>
        <item x="120"/>
        <item x="667"/>
        <item x="333"/>
        <item x="493"/>
        <item x="579"/>
        <item x="183"/>
        <item x="926"/>
        <item x="583"/>
        <item x="449"/>
        <item x="465"/>
        <item x="815"/>
        <item x="499"/>
        <item x="200"/>
        <item x="196"/>
        <item x="76"/>
        <item x="920"/>
        <item x="542"/>
        <item x="362"/>
        <item x="702"/>
        <item x="264"/>
        <item x="643"/>
        <item x="807"/>
        <item x="820"/>
        <item x="344"/>
        <item x="832"/>
        <item x="758"/>
        <item x="857"/>
        <item x="115"/>
        <item x="89"/>
        <item x="294"/>
        <item x="683"/>
        <item x="819"/>
        <item x="224"/>
        <item x="944"/>
        <item x="590"/>
        <item x="610"/>
        <item x="331"/>
        <item x="19"/>
        <item x="848"/>
        <item x="287"/>
        <item x="159"/>
        <item x="188"/>
        <item x="949"/>
        <item x="425"/>
        <item x="795"/>
        <item x="628"/>
        <item x="751"/>
        <item x="426"/>
        <item x="292"/>
        <item x="852"/>
        <item x="476"/>
        <item x="775"/>
        <item x="792"/>
        <item x="904"/>
        <item x="93"/>
        <item x="316"/>
        <item x="351"/>
        <item x="996"/>
        <item x="597"/>
        <item x="166"/>
        <item x="21"/>
        <item x="697"/>
        <item x="620"/>
        <item x="221"/>
        <item x="942"/>
        <item x="329"/>
        <item x="779"/>
        <item x="567"/>
        <item x="369"/>
        <item x="409"/>
        <item x="418"/>
        <item x="371"/>
        <item x="74"/>
        <item x="875"/>
        <item x="877"/>
        <item x="348"/>
        <item x="681"/>
        <item x="309"/>
        <item x="799"/>
        <item x="975"/>
        <item x="915"/>
        <item x="941"/>
        <item x="235"/>
        <item x="913"/>
        <item x="214"/>
        <item x="157"/>
        <item x="602"/>
        <item x="550"/>
        <item x="982"/>
        <item x="627"/>
        <item x="629"/>
        <item x="414"/>
        <item x="892"/>
        <item x="50"/>
        <item x="61"/>
        <item x="887"/>
        <item x="710"/>
        <item x="211"/>
        <item x="148"/>
        <item x="117"/>
        <item x="631"/>
        <item x="668"/>
        <item x="466"/>
        <item x="753"/>
        <item x="860"/>
        <item x="854"/>
        <item x="897"/>
        <item x="566"/>
        <item x="49"/>
        <item x="712"/>
        <item x="176"/>
        <item x="492"/>
        <item x="765"/>
        <item x="800"/>
        <item x="250"/>
        <item x="776"/>
        <item x="334"/>
        <item x="521"/>
        <item x="724"/>
        <item x="846"/>
        <item x="746"/>
        <item x="797"/>
        <item x="446"/>
        <item x="694"/>
        <item x="534"/>
        <item x="199"/>
        <item x="475"/>
        <item x="825"/>
        <item x="216"/>
        <item x="696"/>
        <item x="581"/>
        <item x="485"/>
        <item x="356"/>
        <item x="823"/>
        <item x="299"/>
        <item x="556"/>
        <item x="743"/>
        <item x="898"/>
        <item x="768"/>
        <item x="56"/>
        <item x="451"/>
        <item x="88"/>
        <item x="279"/>
        <item x="584"/>
        <item x="277"/>
        <item x="691"/>
        <item x="91"/>
        <item x="402"/>
        <item x="708"/>
        <item x="537"/>
        <item x="741"/>
        <item x="722"/>
        <item x="865"/>
        <item x="789"/>
        <item x="215"/>
        <item x="330"/>
        <item x="376"/>
        <item x="916"/>
        <item x="727"/>
        <item x="680"/>
        <item x="841"/>
        <item x="814"/>
        <item x="379"/>
        <item x="995"/>
        <item x="113"/>
        <item x="935"/>
        <item x="943"/>
        <item x="278"/>
        <item x="736"/>
        <item x="408"/>
        <item x="55"/>
        <item x="640"/>
        <item x="855"/>
        <item x="172"/>
        <item x="121"/>
        <item x="36"/>
        <item x="845"/>
        <item x="714"/>
        <item x="520"/>
        <item x="608"/>
        <item x="69"/>
        <item x="308"/>
        <item x="246"/>
        <item x="661"/>
        <item x="73"/>
        <item x="417"/>
        <item x="349"/>
        <item x="662"/>
        <item x="394"/>
        <item x="326"/>
        <item x="589"/>
        <item x="806"/>
        <item x="298"/>
        <item x="389"/>
        <item x="607"/>
        <item x="707"/>
        <item x="398"/>
        <item x="213"/>
        <item x="428"/>
        <item x="790"/>
        <item x="33"/>
        <item x="612"/>
        <item x="647"/>
        <item x="4"/>
        <item x="164"/>
        <item x="422"/>
        <item x="86"/>
        <item x="296"/>
        <item x="507"/>
        <item x="443"/>
        <item x="778"/>
        <item x="429"/>
        <item x="300"/>
        <item x="859"/>
        <item x="236"/>
        <item x="907"/>
        <item x="491"/>
        <item x="58"/>
        <item x="874"/>
        <item x="847"/>
        <item x="258"/>
        <item x="341"/>
        <item x="82"/>
        <item x="345"/>
        <item x="798"/>
        <item x="251"/>
        <item x="327"/>
        <item x="469"/>
        <item x="761"/>
        <item x="16"/>
        <item x="676"/>
        <item x="201"/>
        <item x="557"/>
        <item x="234"/>
        <item x="836"/>
        <item x="383"/>
        <item x="872"/>
        <item x="434"/>
        <item x="737"/>
        <item x="646"/>
        <item x="290"/>
        <item x="588"/>
        <item x="380"/>
        <item x="479"/>
        <item x="494"/>
        <item x="474"/>
        <item x="430"/>
        <item x="777"/>
        <item x="370"/>
        <item x="699"/>
        <item x="450"/>
        <item x="565"/>
        <item x="472"/>
        <item x="925"/>
        <item x="759"/>
        <item x="906"/>
        <item x="535"/>
        <item x="511"/>
        <item x="835"/>
        <item x="372"/>
        <item x="885"/>
        <item x="267"/>
        <item x="260"/>
        <item x="518"/>
        <item x="160"/>
        <item x="110"/>
        <item x="730"/>
        <item x="442"/>
        <item x="302"/>
        <item x="970"/>
        <item x="861"/>
        <item x="95"/>
        <item x="111"/>
        <item x="922"/>
        <item x="501"/>
        <item x="674"/>
        <item x="831"/>
        <item x="732"/>
        <item x="783"/>
        <item x="899"/>
        <item x="756"/>
        <item x="665"/>
        <item x="947"/>
        <item x="740"/>
        <item x="512"/>
        <item x="787"/>
        <item x="632"/>
        <item x="241"/>
        <item x="195"/>
        <item x="545"/>
        <item x="314"/>
        <item x="669"/>
        <item x="546"/>
        <item x="31"/>
        <item x="240"/>
        <item x="986"/>
        <item x="850"/>
        <item x="679"/>
        <item x="119"/>
        <item x="549"/>
        <item x="187"/>
        <item x="876"/>
        <item x="289"/>
        <item x="864"/>
        <item x="347"/>
        <item x="355"/>
        <item x="809"/>
        <item x="938"/>
        <item x="616"/>
        <item x="412"/>
        <item x="731"/>
        <item x="381"/>
        <item x="527"/>
        <item x="245"/>
        <item x="253"/>
        <item x="867"/>
        <item x="406"/>
        <item x="52"/>
        <item x="868"/>
        <item x="562"/>
        <item x="343"/>
        <item x="866"/>
        <item x="770"/>
        <item x="189"/>
        <item x="909"/>
        <item x="404"/>
        <item x="918"/>
        <item x="653"/>
        <item x="862"/>
        <item x="367"/>
        <item x="686"/>
        <item x="129"/>
        <item x="193"/>
        <item x="553"/>
        <item x="461"/>
        <item x="555"/>
        <item x="42"/>
        <item x="46"/>
        <item x="959"/>
        <item x="10"/>
        <item x="256"/>
        <item x="104"/>
        <item x="263"/>
        <item x="453"/>
        <item x="733"/>
        <item x="734"/>
        <item x="261"/>
        <item x="981"/>
        <item x="336"/>
        <item x="604"/>
        <item x="755"/>
        <item x="377"/>
        <item x="519"/>
        <item x="577"/>
        <item x="132"/>
        <item x="6"/>
        <item x="457"/>
        <item x="43"/>
        <item x="66"/>
        <item x="131"/>
        <item x="12"/>
        <item x="128"/>
        <item x="24"/>
        <item x="693"/>
        <item x="207"/>
        <item x="8"/>
        <item x="447"/>
        <item x="976"/>
        <item x="411"/>
        <item x="531"/>
        <item x="273"/>
        <item x="536"/>
        <item x="543"/>
        <item x="57"/>
        <item x="766"/>
        <item x="871"/>
        <item x="444"/>
        <item x="638"/>
        <item x="644"/>
        <item x="232"/>
        <item x="505"/>
        <item x="464"/>
        <item x="481"/>
        <item x="361"/>
        <item x="143"/>
        <item x="671"/>
        <item x="285"/>
        <item x="359"/>
        <item x="625"/>
        <item x="563"/>
        <item x="161"/>
        <item x="332"/>
        <item x="601"/>
        <item x="548"/>
        <item x="678"/>
        <item x="939"/>
        <item x="903"/>
        <item x="162"/>
        <item x="844"/>
        <item x="523"/>
        <item x="902"/>
        <item x="291"/>
        <item x="962"/>
        <item x="889"/>
        <item x="648"/>
        <item x="745"/>
        <item x="526"/>
        <item x="718"/>
        <item x="529"/>
        <item x="905"/>
        <item x="522"/>
        <item x="328"/>
        <item x="990"/>
        <item x="672"/>
        <item x="384"/>
        <item x="559"/>
        <item x="255"/>
        <item x="102"/>
        <item x="664"/>
        <item x="168"/>
        <item x="663"/>
        <item x="574"/>
        <item x="70"/>
        <item x="657"/>
        <item x="301"/>
        <item x="254"/>
        <item x="895"/>
        <item x="335"/>
        <item x="249"/>
        <item x="958"/>
        <item x="652"/>
        <item x="764"/>
        <item x="977"/>
        <item x="87"/>
        <item x="98"/>
        <item x="525"/>
        <item x="262"/>
        <item x="64"/>
        <item x="133"/>
        <item x="967"/>
        <item x="54"/>
        <item x="561"/>
        <item x="275"/>
        <item x="769"/>
        <item x="692"/>
        <item x="269"/>
        <item x="65"/>
        <item x="228"/>
        <item x="205"/>
        <item x="11"/>
        <item x="169"/>
        <item x="306"/>
        <item x="257"/>
        <item x="804"/>
        <item x="265"/>
        <item x="105"/>
        <item x="419"/>
        <item x="781"/>
        <item x="85"/>
        <item x="509"/>
        <item x="109"/>
        <item x="363"/>
        <item x="533"/>
        <item x="136"/>
        <item x="392"/>
        <item x="839"/>
        <item x="993"/>
        <item x="954"/>
        <item x="748"/>
        <item x="435"/>
        <item x="59"/>
        <item x="578"/>
        <item x="158"/>
        <item x="303"/>
        <item x="118"/>
        <item x="237"/>
        <item x="319"/>
        <item x="459"/>
        <item x="458"/>
        <item x="71"/>
        <item x="987"/>
        <item x="81"/>
        <item x="209"/>
        <item x="284"/>
        <item x="192"/>
        <item x="247"/>
        <item x="252"/>
        <item x="919"/>
        <item x="144"/>
        <item x="917"/>
        <item x="354"/>
        <item x="242"/>
        <item x="968"/>
        <item x="179"/>
        <item x="593"/>
        <item x="163"/>
        <item x="957"/>
        <item x="951"/>
        <item x="155"/>
        <item x="706"/>
        <item x="503"/>
        <item x="633"/>
        <item x="488"/>
        <item x="838"/>
        <item x="609"/>
        <item x="719"/>
        <item x="307"/>
        <item x="310"/>
        <item x="350"/>
        <item x="964"/>
        <item x="227"/>
        <item x="580"/>
        <item x="538"/>
        <item x="427"/>
        <item x="486"/>
        <item x="20"/>
        <item x="594"/>
        <item x="462"/>
        <item x="649"/>
        <item x="654"/>
        <item x="618"/>
        <item x="107"/>
        <item x="467"/>
        <item x="802"/>
        <item x="650"/>
        <item x="156"/>
        <item x="438"/>
        <item x="952"/>
        <item x="63"/>
        <item x="888"/>
        <item x="973"/>
        <item x="843"/>
        <item x="863"/>
        <item x="124"/>
        <item x="635"/>
        <item x="339"/>
        <item x="822"/>
        <item x="682"/>
        <item x="517"/>
        <item x="726"/>
        <item x="984"/>
        <item x="585"/>
        <item x="912"/>
        <item x="238"/>
        <item x="17"/>
        <item x="83"/>
        <item x="539"/>
        <item x="599"/>
        <item x="468"/>
        <item x="729"/>
        <item x="185"/>
        <item x="123"/>
        <item x="448"/>
        <item x="651"/>
        <item x="39"/>
        <item x="811"/>
        <item x="152"/>
        <item x="827"/>
        <item x="894"/>
        <item x="490"/>
        <item x="965"/>
        <item x="803"/>
        <item x="994"/>
        <item x="591"/>
        <item x="945"/>
        <item x="72"/>
        <item x="900"/>
        <item x="2"/>
        <item x="754"/>
        <item x="611"/>
        <item x="35"/>
        <item x="901"/>
        <item x="576"/>
        <item x="698"/>
        <item t="default"/>
      </items>
    </pivotField>
    <pivotField showAll="0">
      <items count="5">
        <item x="1"/>
        <item x="2"/>
        <item x="3"/>
        <item x="0"/>
        <item t="default"/>
      </items>
    </pivotField>
    <pivotField numFmtId="2" showAll="0"/>
    <pivotField showAll="0"/>
    <pivotField showAll="0">
      <items count="13">
        <item x="7"/>
        <item x="8"/>
        <item x="9"/>
        <item x="10"/>
        <item x="11"/>
        <item x="0"/>
        <item x="1"/>
        <item x="2"/>
        <item x="3"/>
        <item x="4"/>
        <item x="5"/>
        <item x="6"/>
        <item t="default"/>
      </items>
    </pivotField>
    <pivotField showAll="0"/>
  </pivotFields>
  <rowFields count="1">
    <field x="4"/>
  </rowFields>
  <rowItems count="7">
    <i>
      <x/>
    </i>
    <i>
      <x v="1"/>
    </i>
    <i>
      <x v="2"/>
    </i>
    <i>
      <x v="3"/>
    </i>
    <i>
      <x v="4"/>
    </i>
    <i>
      <x v="5"/>
    </i>
    <i t="grand">
      <x/>
    </i>
  </rowItems>
  <colItems count="1">
    <i/>
  </colItems>
  <dataFields count="1">
    <dataField name="Sum of Profit" fld="9" baseField="0" baseItem="0" numFmtId="166"/>
  </dataFields>
  <formats count="12">
    <format dxfId="54">
      <pivotArea field="4" type="button" dataOnly="0" labelOnly="1" outline="0" axis="axisRow" fieldPosition="0"/>
    </format>
    <format dxfId="53">
      <pivotArea dataOnly="0" labelOnly="1" outline="0" axis="axisValues" fieldPosition="0"/>
    </format>
    <format dxfId="52">
      <pivotArea dataOnly="0" grandRow="1" axis="axisRow" fieldPosition="0"/>
    </format>
    <format dxfId="51">
      <pivotArea dataOnly="0" labelOnly="1" fieldPosition="0">
        <references count="1">
          <reference field="4" count="0"/>
        </references>
      </pivotArea>
    </format>
    <format dxfId="50">
      <pivotArea collapsedLevelsAreSubtotals="1" fieldPosition="0">
        <references count="1">
          <reference field="4" count="0"/>
        </references>
      </pivotArea>
    </format>
    <format dxfId="49">
      <pivotArea type="all" dataOnly="0" outline="0" fieldPosition="0"/>
    </format>
    <format dxfId="48">
      <pivotArea outline="0" collapsedLevelsAreSubtotals="1" fieldPosition="0"/>
    </format>
    <format dxfId="47">
      <pivotArea dataOnly="0" labelOnly="1" grandRow="1" outline="0" fieldPosition="0"/>
    </format>
    <format dxfId="46">
      <pivotArea field="4" type="button" dataOnly="0" labelOnly="1" outline="0" axis="axisRow" fieldPosition="0"/>
    </format>
    <format dxfId="45">
      <pivotArea dataOnly="0" labelOnly="1" outline="0" axis="axisValues" fieldPosition="0"/>
    </format>
    <format dxfId="44">
      <pivotArea dataOnly="0" grandRow="1" fieldPosition="0"/>
    </format>
    <format dxfId="43">
      <pivotArea dataOnly="0" fieldPosition="0">
        <references count="1">
          <reference field="4" count="0"/>
        </references>
      </pivotArea>
    </format>
  </formats>
  <chartFormats count="15">
    <chartFormat chart="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4" count="1" selected="0">
            <x v="0"/>
          </reference>
        </references>
      </pivotArea>
    </chartFormat>
    <chartFormat chart="16" format="2">
      <pivotArea type="data" outline="0" fieldPosition="0">
        <references count="2">
          <reference field="4294967294" count="1" selected="0">
            <x v="0"/>
          </reference>
          <reference field="4" count="1" selected="0">
            <x v="1"/>
          </reference>
        </references>
      </pivotArea>
    </chartFormat>
    <chartFormat chart="16" format="3">
      <pivotArea type="data" outline="0" fieldPosition="0">
        <references count="2">
          <reference field="4294967294" count="1" selected="0">
            <x v="0"/>
          </reference>
          <reference field="4" count="1" selected="0">
            <x v="2"/>
          </reference>
        </references>
      </pivotArea>
    </chartFormat>
    <chartFormat chart="16" format="4">
      <pivotArea type="data" outline="0" fieldPosition="0">
        <references count="2">
          <reference field="4294967294" count="1" selected="0">
            <x v="0"/>
          </reference>
          <reference field="4" count="1" selected="0">
            <x v="3"/>
          </reference>
        </references>
      </pivotArea>
    </chartFormat>
    <chartFormat chart="16" format="5">
      <pivotArea type="data" outline="0" fieldPosition="0">
        <references count="2">
          <reference field="4294967294" count="1" selected="0">
            <x v="0"/>
          </reference>
          <reference field="4" count="1" selected="0">
            <x v="4"/>
          </reference>
        </references>
      </pivotArea>
    </chartFormat>
    <chartFormat chart="16" format="6">
      <pivotArea type="data" outline="0" fieldPosition="0">
        <references count="2">
          <reference field="4294967294" count="1" selected="0">
            <x v="0"/>
          </reference>
          <reference field="4" count="1" selected="0">
            <x v="5"/>
          </reference>
        </references>
      </pivotArea>
    </chartFormat>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4" count="1" selected="0">
            <x v="0"/>
          </reference>
        </references>
      </pivotArea>
    </chartFormat>
    <chartFormat chart="22" format="2">
      <pivotArea type="data" outline="0" fieldPosition="0">
        <references count="2">
          <reference field="4294967294" count="1" selected="0">
            <x v="0"/>
          </reference>
          <reference field="4" count="1" selected="0">
            <x v="1"/>
          </reference>
        </references>
      </pivotArea>
    </chartFormat>
    <chartFormat chart="22" format="3">
      <pivotArea type="data" outline="0" fieldPosition="0">
        <references count="2">
          <reference field="4294967294" count="1" selected="0">
            <x v="0"/>
          </reference>
          <reference field="4" count="1" selected="0">
            <x v="2"/>
          </reference>
        </references>
      </pivotArea>
    </chartFormat>
    <chartFormat chart="22" format="4">
      <pivotArea type="data" outline="0" fieldPosition="0">
        <references count="2">
          <reference field="4294967294" count="1" selected="0">
            <x v="0"/>
          </reference>
          <reference field="4" count="1" selected="0">
            <x v="3"/>
          </reference>
        </references>
      </pivotArea>
    </chartFormat>
    <chartFormat chart="22" format="5">
      <pivotArea type="data" outline="0" fieldPosition="0">
        <references count="2">
          <reference field="4294967294" count="1" selected="0">
            <x v="0"/>
          </reference>
          <reference field="4" count="1" selected="0">
            <x v="4"/>
          </reference>
        </references>
      </pivotArea>
    </chartFormat>
    <chartFormat chart="22" format="6">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C282C30-EC7D-458C-91CB-0B58926D8FD9}" sourceName="Region">
  <pivotTables>
    <pivotTable tabId="2" name="PivotTable1"/>
  </pivotTables>
  <data>
    <tabular pivotCacheId="30130963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72613D52-026F-4036-86D7-88B8CAE2645E}" sourceName="Payment_Mode">
  <pivotTables>
    <pivotTable tabId="2" name="PivotTable2"/>
  </pivotTables>
  <data>
    <tabular pivotCacheId="301309634">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1C670BD7-3777-40C8-A20F-3950F36ADC80}" sourceName="Salesperson">
  <pivotTables>
    <pivotTable tabId="2" name="PivotTable4"/>
  </pivotTables>
  <data>
    <tabular pivotCacheId="301309634">
      <items count="8">
        <i x="1" s="1"/>
        <i x="7" s="1"/>
        <i x="5" s="1"/>
        <i x="4" s="1"/>
        <i x="6" s="1"/>
        <i x="3"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FD8CCA6-4C30-41CB-8CDC-A3DDD06329CA}" sourceName="Month">
  <data>
    <tabular pivotCacheId="301309634">
      <items count="12">
        <i x="7" s="1"/>
        <i x="8" s="1"/>
        <i x="9" s="1"/>
        <i x="10" s="1"/>
        <i x="11" s="1"/>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6A235F7-E697-4B9D-8C37-D03F20D3791E}" cache="Slicer_Region" caption="Region" style="SlicerStyleDark5" rowHeight="234950"/>
  <slicer name="Payment_Mode" xr10:uid="{3E0D562F-EE54-44BF-8FF6-57CECF30034D}" cache="Slicer_Payment_Mode" caption="Payment_Mode" style="SlicerStyleLight6" rowHeight="234950"/>
  <slicer name="Salesperson" xr10:uid="{2A8ABEAB-46C2-49B8-86F4-A91E21EC8E6F}" cache="Slicer_Salesperson" caption="Salesperson" style="SlicerStyleDark4" rowHeight="234950"/>
  <slicer name="Month" xr10:uid="{BDDF534D-01ED-42E3-94F3-C854A143AA7E}" cache="Slicer_Month" caption="Month"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B3E638-1CEF-4A84-ACA7-0CD871D5F175}" name="Table1" displayName="Table1" ref="A1:O1002" totalsRowCount="1" headerRowDxfId="75">
  <autoFilter ref="A1:O1001" xr:uid="{63B3E638-1CEF-4A84-ACA7-0CD871D5F175}"/>
  <tableColumns count="15">
    <tableColumn id="1" xr3:uid="{40246CA6-5D67-466E-989F-D5E3C5705549}" name="Order_ID"/>
    <tableColumn id="2" xr3:uid="{3EE36737-DA3E-4FB3-AC0A-CF3D0FFB081D}" name="Order_Date" dataDxfId="74" totalsRowDxfId="73"/>
    <tableColumn id="3" xr3:uid="{A41838E9-F43B-4A36-B9BD-1CB2D8F77390}" name="Region"/>
    <tableColumn id="4" xr3:uid="{5BAA0754-8AAD-4CA9-B08B-A8188C3C7974}" name="Salesperson"/>
    <tableColumn id="5" xr3:uid="{44D004F4-AB83-4E99-8901-D54418528787}" name="Product"/>
    <tableColumn id="6" xr3:uid="{06D423FD-307F-4339-B7E0-A72B4BCC6096}" name="Quantity" dataDxfId="72" totalsRowDxfId="71"/>
    <tableColumn id="7" xr3:uid="{2C889FD2-5B1A-42DA-A94C-720D0A56D3F7}" name="Unit_Price" dataDxfId="70" totalsRowDxfId="69"/>
    <tableColumn id="8" xr3:uid="{09519D75-E38B-46A5-BBE0-47AE412B0EF8}" name="Sales_Amount" totalsRowFunction="custom" dataDxfId="68" totalsRowDxfId="67">
      <totalsRowFormula>SUM(Table1[Sales_Amount])</totalsRowFormula>
    </tableColumn>
    <tableColumn id="9" xr3:uid="{2D05BBE9-C148-45D9-B8A5-7D96953BB696}" name="Cost_Amount" dataDxfId="66" totalsRowDxfId="65"/>
    <tableColumn id="10" xr3:uid="{1DE85A66-05D9-4357-949A-64BE426B9B9F}" name="Profit" dataDxfId="64" totalsRowDxfId="63"/>
    <tableColumn id="11" xr3:uid="{958F6CCB-6000-4340-9A34-804DB4912E5F}" name="Payment_Mode"/>
    <tableColumn id="12" xr3:uid="{1B525CDE-16B1-490F-8BDA-3663FFF4BB54}" name="Profit %" dataDxfId="62" totalsRowDxfId="61">
      <calculatedColumnFormula>(Table1[[#This Row],[Profit]]/Table1[[#This Row],[Sales_Amount]])*100</calculatedColumnFormula>
    </tableColumn>
    <tableColumn id="13" xr3:uid="{B8FA9B21-4512-4EB0-86FF-0EBD98BAA257}" name="Sales Category" dataDxfId="60" totalsRowDxfId="59">
      <calculatedColumnFormula array="1">_xlfn.IFS(Table1[[#This Row],[Sales_Amount]]&gt;200000,"High",AND(Table1[[#This Row],[Sales_Amount]]&gt;100000,Table1[[#This Row],[Sales_Amount]]&lt;200000),"Medium",Table1[[#This Row],[Sales_Amount]]&lt;100000,"Low")</calculatedColumnFormula>
    </tableColumn>
    <tableColumn id="14" xr3:uid="{0690E460-4E29-4C61-BBFE-D306DAB758B6}" name="Month" dataDxfId="58" totalsRowDxfId="57">
      <calculatedColumnFormula>TEXT(Table1[[#This Row],[Order_Date]],"MMMM")</calculatedColumnFormula>
    </tableColumn>
    <tableColumn id="15" xr3:uid="{8D713AD2-D7A4-4741-9911-A2BA6C7521A8}" name="Year" dataDxfId="56" totalsRowDxfId="55">
      <calculatedColumnFormula>YEAR(Table1[[#This Row],[Order_Date]])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2"/>
  <sheetViews>
    <sheetView topLeftCell="A983" workbookViewId="0">
      <selection activeCell="H1002" sqref="H1002"/>
    </sheetView>
  </sheetViews>
  <sheetFormatPr defaultRowHeight="14.4" x14ac:dyDescent="0.3"/>
  <cols>
    <col min="1" max="1" width="10.44140625" customWidth="1"/>
    <col min="2" max="2" width="17.77734375" style="2" customWidth="1"/>
    <col min="4" max="4" width="12.88671875" customWidth="1"/>
    <col min="5" max="5" width="9.5546875" customWidth="1"/>
    <col min="6" max="6" width="10.21875" style="3" customWidth="1"/>
    <col min="7" max="7" width="11.5546875" style="4" customWidth="1"/>
    <col min="8" max="8" width="19.33203125" style="4" customWidth="1"/>
    <col min="9" max="9" width="14.44140625" style="4" customWidth="1"/>
    <col min="10" max="10" width="12.77734375" style="4" bestFit="1" customWidth="1"/>
    <col min="11" max="11" width="16.44140625" customWidth="1"/>
    <col min="12" max="12" width="12.33203125" style="3" customWidth="1"/>
    <col min="13" max="13" width="15.21875" customWidth="1"/>
    <col min="14" max="14" width="14.21875" bestFit="1" customWidth="1"/>
  </cols>
  <sheetData>
    <row r="1" spans="1:15" x14ac:dyDescent="0.3">
      <c r="A1" t="s">
        <v>0</v>
      </c>
      <c r="B1" s="2" t="s">
        <v>1</v>
      </c>
      <c r="C1" t="s">
        <v>2</v>
      </c>
      <c r="D1" t="s">
        <v>3</v>
      </c>
      <c r="E1" t="s">
        <v>4</v>
      </c>
      <c r="F1" s="3" t="s">
        <v>5</v>
      </c>
      <c r="G1" s="4" t="s">
        <v>6</v>
      </c>
      <c r="H1" s="4" t="s">
        <v>7</v>
      </c>
      <c r="I1" s="4" t="s">
        <v>8</v>
      </c>
      <c r="J1" s="4" t="s">
        <v>9</v>
      </c>
      <c r="K1" t="s">
        <v>10</v>
      </c>
      <c r="L1" s="3" t="s">
        <v>1033</v>
      </c>
      <c r="M1" s="4" t="s">
        <v>1034</v>
      </c>
      <c r="N1" t="s">
        <v>1035</v>
      </c>
      <c r="O1" s="4" t="s">
        <v>1038</v>
      </c>
    </row>
    <row r="2" spans="1:15" x14ac:dyDescent="0.3">
      <c r="A2" t="s">
        <v>11</v>
      </c>
      <c r="B2" s="1">
        <v>45821</v>
      </c>
      <c r="C2" t="s">
        <v>12</v>
      </c>
      <c r="D2" t="s">
        <v>13</v>
      </c>
      <c r="E2" t="s">
        <v>14</v>
      </c>
      <c r="F2" s="3">
        <v>1</v>
      </c>
      <c r="G2" s="4">
        <v>49098</v>
      </c>
      <c r="H2" s="4">
        <v>49098</v>
      </c>
      <c r="I2" s="4">
        <v>33509.82</v>
      </c>
      <c r="J2" s="4">
        <v>15588.18</v>
      </c>
      <c r="K2" t="s">
        <v>15</v>
      </c>
      <c r="L2" s="3">
        <f>(Table1[[#This Row],[Profit]]/Table1[[#This Row],[Sales_Amount]])*100</f>
        <v>31.749114016864233</v>
      </c>
      <c r="M2" s="4" t="str" cm="1">
        <f t="array" ref="M2">_xlfn.IFS(Table1[[#This Row],[Sales_Amount]]&gt;200000,"High",AND(Table1[[#This Row],[Sales_Amount]]&gt;100000,Table1[[#This Row],[Sales_Amount]]&lt;200000),"Medium",Table1[[#This Row],[Sales_Amount]]&lt;100000,"Low")</f>
        <v>Low</v>
      </c>
      <c r="N2" t="str">
        <f>TEXT(Table1[[#This Row],[Order_Date]],"MMMM")</f>
        <v>June</v>
      </c>
      <c r="O2">
        <f>YEAR(Table1[[#This Row],[Order_Date]])</f>
        <v>2025</v>
      </c>
    </row>
    <row r="3" spans="1:15" x14ac:dyDescent="0.3">
      <c r="A3" t="s">
        <v>16</v>
      </c>
      <c r="B3" s="1">
        <v>45822</v>
      </c>
      <c r="C3" t="s">
        <v>17</v>
      </c>
      <c r="D3" t="s">
        <v>18</v>
      </c>
      <c r="E3" t="s">
        <v>19</v>
      </c>
      <c r="F3" s="3">
        <v>9</v>
      </c>
      <c r="G3" s="4">
        <v>6197</v>
      </c>
      <c r="H3" s="4">
        <v>55773</v>
      </c>
      <c r="I3" s="4">
        <v>43343.86</v>
      </c>
      <c r="J3" s="4">
        <v>12429.14</v>
      </c>
      <c r="K3" t="s">
        <v>15</v>
      </c>
      <c r="L3" s="3">
        <f>(Table1[[#This Row],[Profit]]/Table1[[#This Row],[Sales_Amount]])*100</f>
        <v>22.285227619098848</v>
      </c>
      <c r="M3" s="4" t="str" cm="1">
        <f t="array" ref="M3">_xlfn.IFS(Table1[[#This Row],[Sales_Amount]]&gt;200000,"High",AND(Table1[[#This Row],[Sales_Amount]]&gt;100000,Table1[[#This Row],[Sales_Amount]]&lt;200000),"Medium",Table1[[#This Row],[Sales_Amount]]&lt;100000,"Low")</f>
        <v>Low</v>
      </c>
      <c r="N3" t="str">
        <f>TEXT(Table1[[#This Row],[Order_Date]],"MMMM")</f>
        <v>June</v>
      </c>
      <c r="O3">
        <f>YEAR(Table1[[#This Row],[Order_Date]])</f>
        <v>2025</v>
      </c>
    </row>
    <row r="4" spans="1:15" x14ac:dyDescent="0.3">
      <c r="A4" t="s">
        <v>20</v>
      </c>
      <c r="B4" s="1">
        <v>45823</v>
      </c>
      <c r="C4" t="s">
        <v>12</v>
      </c>
      <c r="D4" t="s">
        <v>21</v>
      </c>
      <c r="E4" t="s">
        <v>22</v>
      </c>
      <c r="F4" s="3">
        <v>9</v>
      </c>
      <c r="G4" s="4">
        <v>39953</v>
      </c>
      <c r="H4" s="4">
        <v>359577</v>
      </c>
      <c r="I4" s="4">
        <v>218608.72</v>
      </c>
      <c r="J4" s="4">
        <v>140968.28</v>
      </c>
      <c r="K4" t="s">
        <v>23</v>
      </c>
      <c r="L4" s="3">
        <f>(Table1[[#This Row],[Profit]]/Table1[[#This Row],[Sales_Amount]])*100</f>
        <v>39.203920161745607</v>
      </c>
      <c r="M4" s="4" t="str" cm="1">
        <f t="array" ref="M4">_xlfn.IFS(Table1[[#This Row],[Sales_Amount]]&gt;200000,"High",AND(Table1[[#This Row],[Sales_Amount]]&gt;100000,Table1[[#This Row],[Sales_Amount]]&lt;200000),"Medium",Table1[[#This Row],[Sales_Amount]]&lt;100000,"Low")</f>
        <v>High</v>
      </c>
      <c r="N4" t="str">
        <f>TEXT(Table1[[#This Row],[Order_Date]],"MMMM")</f>
        <v>June</v>
      </c>
      <c r="O4">
        <f>YEAR(Table1[[#This Row],[Order_Date]])</f>
        <v>2025</v>
      </c>
    </row>
    <row r="5" spans="1:15" x14ac:dyDescent="0.3">
      <c r="A5" t="s">
        <v>24</v>
      </c>
      <c r="B5" s="1">
        <v>45824</v>
      </c>
      <c r="C5" t="s">
        <v>12</v>
      </c>
      <c r="D5" t="s">
        <v>21</v>
      </c>
      <c r="E5" t="s">
        <v>25</v>
      </c>
      <c r="F5" s="3">
        <v>5</v>
      </c>
      <c r="G5" s="4">
        <v>925</v>
      </c>
      <c r="H5" s="4">
        <v>4625</v>
      </c>
      <c r="I5" s="4">
        <v>3827.85</v>
      </c>
      <c r="J5" s="4">
        <v>797.15</v>
      </c>
      <c r="K5" t="s">
        <v>26</v>
      </c>
      <c r="L5" s="3">
        <f>(Table1[[#This Row],[Profit]]/Table1[[#This Row],[Sales_Amount]])*100</f>
        <v>17.235675675675672</v>
      </c>
      <c r="M5" s="4" t="str" cm="1">
        <f t="array" ref="M5">_xlfn.IFS(Table1[[#This Row],[Sales_Amount]]&gt;200000,"High",AND(Table1[[#This Row],[Sales_Amount]]&gt;100000,Table1[[#This Row],[Sales_Amount]]&lt;200000),"Medium",Table1[[#This Row],[Sales_Amount]]&lt;100000,"Low")</f>
        <v>Low</v>
      </c>
      <c r="N5" t="str">
        <f>TEXT(Table1[[#This Row],[Order_Date]],"MMMM")</f>
        <v>June</v>
      </c>
      <c r="O5">
        <f>YEAR(Table1[[#This Row],[Order_Date]])</f>
        <v>2025</v>
      </c>
    </row>
    <row r="6" spans="1:15" x14ac:dyDescent="0.3">
      <c r="A6" t="s">
        <v>27</v>
      </c>
      <c r="B6" s="1">
        <v>45825</v>
      </c>
      <c r="C6" t="s">
        <v>28</v>
      </c>
      <c r="D6" t="s">
        <v>29</v>
      </c>
      <c r="E6" t="s">
        <v>22</v>
      </c>
      <c r="F6" s="3">
        <v>4</v>
      </c>
      <c r="G6" s="4">
        <v>22559</v>
      </c>
      <c r="H6" s="4">
        <v>90236</v>
      </c>
      <c r="I6" s="4">
        <v>56908.51</v>
      </c>
      <c r="J6" s="4">
        <v>33327.49</v>
      </c>
      <c r="K6" t="s">
        <v>26</v>
      </c>
      <c r="L6" s="3">
        <f>(Table1[[#This Row],[Profit]]/Table1[[#This Row],[Sales_Amount]])*100</f>
        <v>36.933696085819406</v>
      </c>
      <c r="M6" s="4" t="str" cm="1">
        <f t="array" ref="M6">_xlfn.IFS(Table1[[#This Row],[Sales_Amount]]&gt;200000,"High",AND(Table1[[#This Row],[Sales_Amount]]&gt;100000,Table1[[#This Row],[Sales_Amount]]&lt;200000),"Medium",Table1[[#This Row],[Sales_Amount]]&lt;100000,"Low")</f>
        <v>Low</v>
      </c>
      <c r="N6" t="str">
        <f>TEXT(Table1[[#This Row],[Order_Date]],"MMMM")</f>
        <v>June</v>
      </c>
      <c r="O6">
        <f>YEAR(Table1[[#This Row],[Order_Date]])</f>
        <v>2025</v>
      </c>
    </row>
    <row r="7" spans="1:15" x14ac:dyDescent="0.3">
      <c r="A7" t="s">
        <v>30</v>
      </c>
      <c r="B7" s="1">
        <v>45826</v>
      </c>
      <c r="C7" t="s">
        <v>17</v>
      </c>
      <c r="D7" t="s">
        <v>21</v>
      </c>
      <c r="E7" t="s">
        <v>25</v>
      </c>
      <c r="F7" s="3">
        <v>5</v>
      </c>
      <c r="G7" s="4">
        <v>3347</v>
      </c>
      <c r="H7" s="4">
        <v>16735</v>
      </c>
      <c r="I7" s="4">
        <v>13704.62</v>
      </c>
      <c r="J7" s="4">
        <v>3030.38</v>
      </c>
      <c r="K7" t="s">
        <v>15</v>
      </c>
      <c r="L7" s="3">
        <f>(Table1[[#This Row],[Profit]]/Table1[[#This Row],[Sales_Amount]])*100</f>
        <v>18.10803704810278</v>
      </c>
      <c r="M7" s="4" t="str" cm="1">
        <f t="array" ref="M7">_xlfn.IFS(Table1[[#This Row],[Sales_Amount]]&gt;200000,"High",AND(Table1[[#This Row],[Sales_Amount]]&gt;100000,Table1[[#This Row],[Sales_Amount]]&lt;200000),"Medium",Table1[[#This Row],[Sales_Amount]]&lt;100000,"Low")</f>
        <v>Low</v>
      </c>
      <c r="N7" t="str">
        <f>TEXT(Table1[[#This Row],[Order_Date]],"MMMM")</f>
        <v>June</v>
      </c>
      <c r="O7">
        <f>YEAR(Table1[[#This Row],[Order_Date]])</f>
        <v>2025</v>
      </c>
    </row>
    <row r="8" spans="1:15" x14ac:dyDescent="0.3">
      <c r="A8" t="s">
        <v>31</v>
      </c>
      <c r="B8" s="1">
        <v>45827</v>
      </c>
      <c r="C8" t="s">
        <v>17</v>
      </c>
      <c r="D8" t="s">
        <v>18</v>
      </c>
      <c r="E8" t="s">
        <v>32</v>
      </c>
      <c r="F8" s="3">
        <v>10</v>
      </c>
      <c r="G8" s="4">
        <v>24200</v>
      </c>
      <c r="H8" s="4">
        <v>242000</v>
      </c>
      <c r="I8" s="4">
        <v>187115.77</v>
      </c>
      <c r="J8" s="4">
        <v>54884.23</v>
      </c>
      <c r="K8" t="s">
        <v>23</v>
      </c>
      <c r="L8" s="3">
        <f>(Table1[[#This Row],[Profit]]/Table1[[#This Row],[Sales_Amount]])*100</f>
        <v>22.679433884297524</v>
      </c>
      <c r="M8" s="4" t="str" cm="1">
        <f t="array" ref="M8">_xlfn.IFS(Table1[[#This Row],[Sales_Amount]]&gt;200000,"High",AND(Table1[[#This Row],[Sales_Amount]]&gt;100000,Table1[[#This Row],[Sales_Amount]]&lt;200000),"Medium",Table1[[#This Row],[Sales_Amount]]&lt;100000,"Low")</f>
        <v>High</v>
      </c>
      <c r="N8" t="str">
        <f>TEXT(Table1[[#This Row],[Order_Date]],"MMMM")</f>
        <v>June</v>
      </c>
      <c r="O8">
        <f>YEAR(Table1[[#This Row],[Order_Date]])</f>
        <v>2025</v>
      </c>
    </row>
    <row r="9" spans="1:15" x14ac:dyDescent="0.3">
      <c r="A9" t="s">
        <v>33</v>
      </c>
      <c r="B9" s="1">
        <v>45828</v>
      </c>
      <c r="C9" t="s">
        <v>28</v>
      </c>
      <c r="D9" t="s">
        <v>34</v>
      </c>
      <c r="E9" t="s">
        <v>14</v>
      </c>
      <c r="F9" s="3">
        <v>4</v>
      </c>
      <c r="G9" s="4">
        <v>7119</v>
      </c>
      <c r="H9" s="4">
        <v>28476</v>
      </c>
      <c r="I9" s="4">
        <v>20332.939999999999</v>
      </c>
      <c r="J9" s="4">
        <v>8143.06</v>
      </c>
      <c r="K9" t="s">
        <v>23</v>
      </c>
      <c r="L9" s="3">
        <f>(Table1[[#This Row],[Profit]]/Table1[[#This Row],[Sales_Amount]])*100</f>
        <v>28.596221379407222</v>
      </c>
      <c r="M9" s="4" t="str" cm="1">
        <f t="array" ref="M9">_xlfn.IFS(Table1[[#This Row],[Sales_Amount]]&gt;200000,"High",AND(Table1[[#This Row],[Sales_Amount]]&gt;100000,Table1[[#This Row],[Sales_Amount]]&lt;200000),"Medium",Table1[[#This Row],[Sales_Amount]]&lt;100000,"Low")</f>
        <v>Low</v>
      </c>
      <c r="N9" t="str">
        <f>TEXT(Table1[[#This Row],[Order_Date]],"MMMM")</f>
        <v>June</v>
      </c>
      <c r="O9">
        <f>YEAR(Table1[[#This Row],[Order_Date]])</f>
        <v>2025</v>
      </c>
    </row>
    <row r="10" spans="1:15" x14ac:dyDescent="0.3">
      <c r="A10" t="s">
        <v>35</v>
      </c>
      <c r="B10" s="1">
        <v>45829</v>
      </c>
      <c r="C10" t="s">
        <v>17</v>
      </c>
      <c r="D10" t="s">
        <v>13</v>
      </c>
      <c r="E10" t="s">
        <v>32</v>
      </c>
      <c r="F10" s="3">
        <v>4</v>
      </c>
      <c r="G10" s="4">
        <v>44420</v>
      </c>
      <c r="H10" s="4">
        <v>177680</v>
      </c>
      <c r="I10" s="4">
        <v>120838.99</v>
      </c>
      <c r="J10" s="4">
        <v>56841.01</v>
      </c>
      <c r="K10" t="s">
        <v>23</v>
      </c>
      <c r="L10" s="3">
        <f>(Table1[[#This Row],[Profit]]/Table1[[#This Row],[Sales_Amount]])*100</f>
        <v>31.990662989644303</v>
      </c>
      <c r="M10" s="4" t="str" cm="1">
        <f t="array" ref="M10">_xlfn.IFS(Table1[[#This Row],[Sales_Amount]]&gt;200000,"High",AND(Table1[[#This Row],[Sales_Amount]]&gt;100000,Table1[[#This Row],[Sales_Amount]]&lt;200000),"Medium",Table1[[#This Row],[Sales_Amount]]&lt;100000,"Low")</f>
        <v>Medium</v>
      </c>
      <c r="N10" t="str">
        <f>TEXT(Table1[[#This Row],[Order_Date]],"MMMM")</f>
        <v>June</v>
      </c>
      <c r="O10">
        <f>YEAR(Table1[[#This Row],[Order_Date]])</f>
        <v>2025</v>
      </c>
    </row>
    <row r="11" spans="1:15" x14ac:dyDescent="0.3">
      <c r="A11" t="s">
        <v>36</v>
      </c>
      <c r="B11" s="1">
        <v>45830</v>
      </c>
      <c r="C11" t="s">
        <v>12</v>
      </c>
      <c r="D11" t="s">
        <v>34</v>
      </c>
      <c r="E11" t="s">
        <v>37</v>
      </c>
      <c r="F11" s="3">
        <v>7</v>
      </c>
      <c r="G11" s="4">
        <v>18191</v>
      </c>
      <c r="H11" s="4">
        <v>127337</v>
      </c>
      <c r="I11" s="4">
        <v>114203.08</v>
      </c>
      <c r="J11" s="4">
        <v>13133.92</v>
      </c>
      <c r="K11" t="s">
        <v>15</v>
      </c>
      <c r="L11" s="3">
        <f>(Table1[[#This Row],[Profit]]/Table1[[#This Row],[Sales_Amount]])*100</f>
        <v>10.314299850004319</v>
      </c>
      <c r="M11" s="4" t="str" cm="1">
        <f t="array" ref="M11">_xlfn.IFS(Table1[[#This Row],[Sales_Amount]]&gt;200000,"High",AND(Table1[[#This Row],[Sales_Amount]]&gt;100000,Table1[[#This Row],[Sales_Amount]]&lt;200000),"Medium",Table1[[#This Row],[Sales_Amount]]&lt;100000,"Low")</f>
        <v>Medium</v>
      </c>
      <c r="N11" t="str">
        <f>TEXT(Table1[[#This Row],[Order_Date]],"MMMM")</f>
        <v>June</v>
      </c>
      <c r="O11">
        <f>YEAR(Table1[[#This Row],[Order_Date]])</f>
        <v>2025</v>
      </c>
    </row>
    <row r="12" spans="1:15" x14ac:dyDescent="0.3">
      <c r="A12" t="s">
        <v>38</v>
      </c>
      <c r="B12" s="1">
        <v>45831</v>
      </c>
      <c r="C12" t="s">
        <v>12</v>
      </c>
      <c r="D12" t="s">
        <v>34</v>
      </c>
      <c r="E12" t="s">
        <v>14</v>
      </c>
      <c r="F12" s="3">
        <v>6</v>
      </c>
      <c r="G12" s="4">
        <v>26790</v>
      </c>
      <c r="H12" s="4">
        <v>160740</v>
      </c>
      <c r="I12" s="4">
        <v>109355</v>
      </c>
      <c r="J12" s="4">
        <v>51385</v>
      </c>
      <c r="K12" t="s">
        <v>23</v>
      </c>
      <c r="L12" s="3">
        <f>(Table1[[#This Row],[Profit]]/Table1[[#This Row],[Sales_Amount]])*100</f>
        <v>31.967774045041679</v>
      </c>
      <c r="M12" s="4" t="str" cm="1">
        <f t="array" ref="M12">_xlfn.IFS(Table1[[#This Row],[Sales_Amount]]&gt;200000,"High",AND(Table1[[#This Row],[Sales_Amount]]&gt;100000,Table1[[#This Row],[Sales_Amount]]&lt;200000),"Medium",Table1[[#This Row],[Sales_Amount]]&lt;100000,"Low")</f>
        <v>Medium</v>
      </c>
      <c r="N12" t="str">
        <f>TEXT(Table1[[#This Row],[Order_Date]],"MMMM")</f>
        <v>June</v>
      </c>
      <c r="O12">
        <f>YEAR(Table1[[#This Row],[Order_Date]])</f>
        <v>2025</v>
      </c>
    </row>
    <row r="13" spans="1:15" x14ac:dyDescent="0.3">
      <c r="A13" t="s">
        <v>39</v>
      </c>
      <c r="B13" s="1">
        <v>45832</v>
      </c>
      <c r="C13" t="s">
        <v>40</v>
      </c>
      <c r="D13" t="s">
        <v>13</v>
      </c>
      <c r="E13" t="s">
        <v>37</v>
      </c>
      <c r="F13" s="3">
        <v>7</v>
      </c>
      <c r="G13" s="4">
        <v>42629</v>
      </c>
      <c r="H13" s="4">
        <v>298403</v>
      </c>
      <c r="I13" s="4">
        <v>220118.63</v>
      </c>
      <c r="J13" s="4">
        <v>78284.37</v>
      </c>
      <c r="K13" t="s">
        <v>23</v>
      </c>
      <c r="L13" s="3">
        <f>(Table1[[#This Row],[Profit]]/Table1[[#This Row],[Sales_Amount]])*100</f>
        <v>26.234444693920633</v>
      </c>
      <c r="M13" s="4" t="str" cm="1">
        <f t="array" ref="M13">_xlfn.IFS(Table1[[#This Row],[Sales_Amount]]&gt;200000,"High",AND(Table1[[#This Row],[Sales_Amount]]&gt;100000,Table1[[#This Row],[Sales_Amount]]&lt;200000),"Medium",Table1[[#This Row],[Sales_Amount]]&lt;100000,"Low")</f>
        <v>High</v>
      </c>
      <c r="N13" t="str">
        <f>TEXT(Table1[[#This Row],[Order_Date]],"MMMM")</f>
        <v>June</v>
      </c>
      <c r="O13">
        <f>YEAR(Table1[[#This Row],[Order_Date]])</f>
        <v>2025</v>
      </c>
    </row>
    <row r="14" spans="1:15" x14ac:dyDescent="0.3">
      <c r="A14" t="s">
        <v>41</v>
      </c>
      <c r="B14" s="1">
        <v>45833</v>
      </c>
      <c r="C14" t="s">
        <v>28</v>
      </c>
      <c r="D14" t="s">
        <v>34</v>
      </c>
      <c r="E14" t="s">
        <v>25</v>
      </c>
      <c r="F14" s="3">
        <v>5</v>
      </c>
      <c r="G14" s="4">
        <v>49456</v>
      </c>
      <c r="H14" s="4">
        <v>247280</v>
      </c>
      <c r="I14" s="4">
        <v>191734.93</v>
      </c>
      <c r="J14" s="4">
        <v>55545.07</v>
      </c>
      <c r="K14" t="s">
        <v>23</v>
      </c>
      <c r="L14" s="3">
        <f>(Table1[[#This Row],[Profit]]/Table1[[#This Row],[Sales_Amount]])*100</f>
        <v>22.462419120025881</v>
      </c>
      <c r="M14" s="4" t="str" cm="1">
        <f t="array" ref="M14">_xlfn.IFS(Table1[[#This Row],[Sales_Amount]]&gt;200000,"High",AND(Table1[[#This Row],[Sales_Amount]]&gt;100000,Table1[[#This Row],[Sales_Amount]]&lt;200000),"Medium",Table1[[#This Row],[Sales_Amount]]&lt;100000,"Low")</f>
        <v>High</v>
      </c>
      <c r="N14" t="str">
        <f>TEXT(Table1[[#This Row],[Order_Date]],"MMMM")</f>
        <v>June</v>
      </c>
      <c r="O14">
        <f>YEAR(Table1[[#This Row],[Order_Date]])</f>
        <v>2025</v>
      </c>
    </row>
    <row r="15" spans="1:15" x14ac:dyDescent="0.3">
      <c r="A15" t="s">
        <v>42</v>
      </c>
      <c r="B15" s="1">
        <v>45834</v>
      </c>
      <c r="C15" t="s">
        <v>17</v>
      </c>
      <c r="D15" t="s">
        <v>13</v>
      </c>
      <c r="E15" t="s">
        <v>25</v>
      </c>
      <c r="F15" s="3">
        <v>8</v>
      </c>
      <c r="G15" s="4">
        <v>6457</v>
      </c>
      <c r="H15" s="4">
        <v>51656</v>
      </c>
      <c r="I15" s="4">
        <v>42705.8</v>
      </c>
      <c r="J15" s="4">
        <v>8950.2000000000007</v>
      </c>
      <c r="K15" t="s">
        <v>23</v>
      </c>
      <c r="L15" s="3">
        <f>(Table1[[#This Row],[Profit]]/Table1[[#This Row],[Sales_Amount]])*100</f>
        <v>17.326544835062723</v>
      </c>
      <c r="M15" s="4" t="str" cm="1">
        <f t="array" ref="M15">_xlfn.IFS(Table1[[#This Row],[Sales_Amount]]&gt;200000,"High",AND(Table1[[#This Row],[Sales_Amount]]&gt;100000,Table1[[#This Row],[Sales_Amount]]&lt;200000),"Medium",Table1[[#This Row],[Sales_Amount]]&lt;100000,"Low")</f>
        <v>Low</v>
      </c>
      <c r="N15" t="str">
        <f>TEXT(Table1[[#This Row],[Order_Date]],"MMMM")</f>
        <v>June</v>
      </c>
      <c r="O15">
        <f>YEAR(Table1[[#This Row],[Order_Date]])</f>
        <v>2025</v>
      </c>
    </row>
    <row r="16" spans="1:15" x14ac:dyDescent="0.3">
      <c r="A16" t="s">
        <v>43</v>
      </c>
      <c r="B16" s="1">
        <v>45835</v>
      </c>
      <c r="C16" t="s">
        <v>28</v>
      </c>
      <c r="D16" t="s">
        <v>44</v>
      </c>
      <c r="E16" t="s">
        <v>37</v>
      </c>
      <c r="F16" s="3">
        <v>10</v>
      </c>
      <c r="G16" s="4">
        <v>4663</v>
      </c>
      <c r="H16" s="4">
        <v>46630</v>
      </c>
      <c r="I16" s="4">
        <v>33360.51</v>
      </c>
      <c r="J16" s="4">
        <v>13269.49</v>
      </c>
      <c r="K16" t="s">
        <v>15</v>
      </c>
      <c r="L16" s="3">
        <f>(Table1[[#This Row],[Profit]]/Table1[[#This Row],[Sales_Amount]])*100</f>
        <v>28.456980484666524</v>
      </c>
      <c r="M16" s="4" t="str" cm="1">
        <f t="array" ref="M16">_xlfn.IFS(Table1[[#This Row],[Sales_Amount]]&gt;200000,"High",AND(Table1[[#This Row],[Sales_Amount]]&gt;100000,Table1[[#This Row],[Sales_Amount]]&lt;200000),"Medium",Table1[[#This Row],[Sales_Amount]]&lt;100000,"Low")</f>
        <v>Low</v>
      </c>
      <c r="N16" t="str">
        <f>TEXT(Table1[[#This Row],[Order_Date]],"MMMM")</f>
        <v>June</v>
      </c>
      <c r="O16">
        <f>YEAR(Table1[[#This Row],[Order_Date]])</f>
        <v>2025</v>
      </c>
    </row>
    <row r="17" spans="1:15" x14ac:dyDescent="0.3">
      <c r="A17" t="s">
        <v>45</v>
      </c>
      <c r="B17" s="1">
        <v>45836</v>
      </c>
      <c r="C17" t="s">
        <v>40</v>
      </c>
      <c r="D17" t="s">
        <v>34</v>
      </c>
      <c r="E17" t="s">
        <v>19</v>
      </c>
      <c r="F17" s="3">
        <v>2</v>
      </c>
      <c r="G17" s="4">
        <v>45176</v>
      </c>
      <c r="H17" s="4">
        <v>90352</v>
      </c>
      <c r="I17" s="4">
        <v>78193.919999999998</v>
      </c>
      <c r="J17" s="4">
        <v>12158.08</v>
      </c>
      <c r="K17" t="s">
        <v>15</v>
      </c>
      <c r="L17" s="3">
        <f>(Table1[[#This Row],[Profit]]/Table1[[#This Row],[Sales_Amount]])*100</f>
        <v>13.456348503630247</v>
      </c>
      <c r="M17" s="4" t="str" cm="1">
        <f t="array" ref="M17">_xlfn.IFS(Table1[[#This Row],[Sales_Amount]]&gt;200000,"High",AND(Table1[[#This Row],[Sales_Amount]]&gt;100000,Table1[[#This Row],[Sales_Amount]]&lt;200000),"Medium",Table1[[#This Row],[Sales_Amount]]&lt;100000,"Low")</f>
        <v>Low</v>
      </c>
      <c r="N17" t="str">
        <f>TEXT(Table1[[#This Row],[Order_Date]],"MMMM")</f>
        <v>June</v>
      </c>
      <c r="O17">
        <f>YEAR(Table1[[#This Row],[Order_Date]])</f>
        <v>2025</v>
      </c>
    </row>
    <row r="18" spans="1:15" x14ac:dyDescent="0.3">
      <c r="A18" t="s">
        <v>46</v>
      </c>
      <c r="B18" s="1">
        <v>45837</v>
      </c>
      <c r="C18" t="s">
        <v>40</v>
      </c>
      <c r="D18" t="s">
        <v>13</v>
      </c>
      <c r="E18" t="s">
        <v>37</v>
      </c>
      <c r="F18" s="3">
        <v>3</v>
      </c>
      <c r="G18" s="4">
        <v>30235</v>
      </c>
      <c r="H18" s="4">
        <v>90705</v>
      </c>
      <c r="I18" s="4">
        <v>54511.31</v>
      </c>
      <c r="J18" s="4">
        <v>36193.69</v>
      </c>
      <c r="K18" t="s">
        <v>15</v>
      </c>
      <c r="L18" s="3">
        <f>(Table1[[#This Row],[Profit]]/Table1[[#This Row],[Sales_Amount]])*100</f>
        <v>39.902640427760325</v>
      </c>
      <c r="M18" s="4" t="str" cm="1">
        <f t="array" ref="M18">_xlfn.IFS(Table1[[#This Row],[Sales_Amount]]&gt;200000,"High",AND(Table1[[#This Row],[Sales_Amount]]&gt;100000,Table1[[#This Row],[Sales_Amount]]&lt;200000),"Medium",Table1[[#This Row],[Sales_Amount]]&lt;100000,"Low")</f>
        <v>Low</v>
      </c>
      <c r="N18" t="str">
        <f>TEXT(Table1[[#This Row],[Order_Date]],"MMMM")</f>
        <v>June</v>
      </c>
      <c r="O18">
        <f>YEAR(Table1[[#This Row],[Order_Date]])</f>
        <v>2025</v>
      </c>
    </row>
    <row r="19" spans="1:15" x14ac:dyDescent="0.3">
      <c r="A19" t="s">
        <v>47</v>
      </c>
      <c r="B19" s="1">
        <v>45838</v>
      </c>
      <c r="C19" t="s">
        <v>40</v>
      </c>
      <c r="D19" t="s">
        <v>13</v>
      </c>
      <c r="E19" t="s">
        <v>32</v>
      </c>
      <c r="F19" s="3">
        <v>9</v>
      </c>
      <c r="G19" s="4">
        <v>40409</v>
      </c>
      <c r="H19" s="4">
        <v>363681</v>
      </c>
      <c r="I19" s="4">
        <v>239910.66</v>
      </c>
      <c r="J19" s="4">
        <v>123770.34</v>
      </c>
      <c r="K19" t="s">
        <v>15</v>
      </c>
      <c r="L19" s="3">
        <f>(Table1[[#This Row],[Profit]]/Table1[[#This Row],[Sales_Amount]])*100</f>
        <v>34.032665990249697</v>
      </c>
      <c r="M19" s="4" t="str" cm="1">
        <f t="array" ref="M19">_xlfn.IFS(Table1[[#This Row],[Sales_Amount]]&gt;200000,"High",AND(Table1[[#This Row],[Sales_Amount]]&gt;100000,Table1[[#This Row],[Sales_Amount]]&lt;200000),"Medium",Table1[[#This Row],[Sales_Amount]]&lt;100000,"Low")</f>
        <v>High</v>
      </c>
      <c r="N19" t="str">
        <f>TEXT(Table1[[#This Row],[Order_Date]],"MMMM")</f>
        <v>June</v>
      </c>
      <c r="O19">
        <f>YEAR(Table1[[#This Row],[Order_Date]])</f>
        <v>2025</v>
      </c>
    </row>
    <row r="20" spans="1:15" x14ac:dyDescent="0.3">
      <c r="A20" t="s">
        <v>48</v>
      </c>
      <c r="B20" s="1">
        <v>45839</v>
      </c>
      <c r="C20" t="s">
        <v>40</v>
      </c>
      <c r="D20" t="s">
        <v>44</v>
      </c>
      <c r="E20" t="s">
        <v>32</v>
      </c>
      <c r="F20" s="3">
        <v>8</v>
      </c>
      <c r="G20" s="4">
        <v>1776</v>
      </c>
      <c r="H20" s="4">
        <v>14208</v>
      </c>
      <c r="I20" s="4">
        <v>9001.6200000000008</v>
      </c>
      <c r="J20" s="4">
        <v>5206.38</v>
      </c>
      <c r="K20" t="s">
        <v>23</v>
      </c>
      <c r="L20" s="3">
        <f>(Table1[[#This Row],[Profit]]/Table1[[#This Row],[Sales_Amount]])*100</f>
        <v>36.644003378378379</v>
      </c>
      <c r="M20" s="4" t="str" cm="1">
        <f t="array" ref="M20">_xlfn.IFS(Table1[[#This Row],[Sales_Amount]]&gt;200000,"High",AND(Table1[[#This Row],[Sales_Amount]]&gt;100000,Table1[[#This Row],[Sales_Amount]]&lt;200000),"Medium",Table1[[#This Row],[Sales_Amount]]&lt;100000,"Low")</f>
        <v>Low</v>
      </c>
      <c r="N20" t="str">
        <f>TEXT(Table1[[#This Row],[Order_Date]],"MMMM")</f>
        <v>July</v>
      </c>
      <c r="O20">
        <f>YEAR(Table1[[#This Row],[Order_Date]])</f>
        <v>2025</v>
      </c>
    </row>
    <row r="21" spans="1:15" x14ac:dyDescent="0.3">
      <c r="A21" t="s">
        <v>49</v>
      </c>
      <c r="B21" s="1">
        <v>45840</v>
      </c>
      <c r="C21" t="s">
        <v>28</v>
      </c>
      <c r="D21" t="s">
        <v>29</v>
      </c>
      <c r="E21" t="s">
        <v>22</v>
      </c>
      <c r="F21" s="3">
        <v>10</v>
      </c>
      <c r="G21" s="4">
        <v>5661</v>
      </c>
      <c r="H21" s="4">
        <v>56610</v>
      </c>
      <c r="I21" s="4">
        <v>35420.65</v>
      </c>
      <c r="J21" s="4">
        <v>21189.35</v>
      </c>
      <c r="K21" t="s">
        <v>23</v>
      </c>
      <c r="L21" s="3">
        <f>(Table1[[#This Row],[Profit]]/Table1[[#This Row],[Sales_Amount]])*100</f>
        <v>37.430400989224516</v>
      </c>
      <c r="M21" s="4" t="str" cm="1">
        <f t="array" ref="M21">_xlfn.IFS(Table1[[#This Row],[Sales_Amount]]&gt;200000,"High",AND(Table1[[#This Row],[Sales_Amount]]&gt;100000,Table1[[#This Row],[Sales_Amount]]&lt;200000),"Medium",Table1[[#This Row],[Sales_Amount]]&lt;100000,"Low")</f>
        <v>Low</v>
      </c>
      <c r="N21" t="str">
        <f>TEXT(Table1[[#This Row],[Order_Date]],"MMMM")</f>
        <v>July</v>
      </c>
      <c r="O21">
        <f>YEAR(Table1[[#This Row],[Order_Date]])</f>
        <v>2025</v>
      </c>
    </row>
    <row r="22" spans="1:15" x14ac:dyDescent="0.3">
      <c r="A22" t="s">
        <v>50</v>
      </c>
      <c r="B22" s="1">
        <v>45841</v>
      </c>
      <c r="C22" t="s">
        <v>28</v>
      </c>
      <c r="D22" t="s">
        <v>51</v>
      </c>
      <c r="E22" t="s">
        <v>19</v>
      </c>
      <c r="F22" s="3">
        <v>8</v>
      </c>
      <c r="G22" s="4">
        <v>36531</v>
      </c>
      <c r="H22" s="4">
        <v>292248</v>
      </c>
      <c r="I22" s="4">
        <v>189826.21</v>
      </c>
      <c r="J22" s="4">
        <v>102421.79</v>
      </c>
      <c r="K22" t="s">
        <v>23</v>
      </c>
      <c r="L22" s="3">
        <f>(Table1[[#This Row],[Profit]]/Table1[[#This Row],[Sales_Amount]])*100</f>
        <v>35.046190222003226</v>
      </c>
      <c r="M22" s="4" t="str" cm="1">
        <f t="array" ref="M22">_xlfn.IFS(Table1[[#This Row],[Sales_Amount]]&gt;200000,"High",AND(Table1[[#This Row],[Sales_Amount]]&gt;100000,Table1[[#This Row],[Sales_Amount]]&lt;200000),"Medium",Table1[[#This Row],[Sales_Amount]]&lt;100000,"Low")</f>
        <v>High</v>
      </c>
      <c r="N22" t="str">
        <f>TEXT(Table1[[#This Row],[Order_Date]],"MMMM")</f>
        <v>July</v>
      </c>
      <c r="O22">
        <f>YEAR(Table1[[#This Row],[Order_Date]])</f>
        <v>2025</v>
      </c>
    </row>
    <row r="23" spans="1:15" x14ac:dyDescent="0.3">
      <c r="A23" t="s">
        <v>52</v>
      </c>
      <c r="B23" s="1">
        <v>45842</v>
      </c>
      <c r="C23" t="s">
        <v>28</v>
      </c>
      <c r="D23" t="s">
        <v>29</v>
      </c>
      <c r="E23" t="s">
        <v>37</v>
      </c>
      <c r="F23" s="3">
        <v>6</v>
      </c>
      <c r="G23" s="4">
        <v>29211</v>
      </c>
      <c r="H23" s="4">
        <v>175266</v>
      </c>
      <c r="I23" s="4">
        <v>152461.13</v>
      </c>
      <c r="J23" s="4">
        <v>22804.87</v>
      </c>
      <c r="K23" t="s">
        <v>23</v>
      </c>
      <c r="L23" s="3">
        <f>(Table1[[#This Row],[Profit]]/Table1[[#This Row],[Sales_Amount]])*100</f>
        <v>13.01157668914678</v>
      </c>
      <c r="M23" s="4" t="str" cm="1">
        <f t="array" ref="M23">_xlfn.IFS(Table1[[#This Row],[Sales_Amount]]&gt;200000,"High",AND(Table1[[#This Row],[Sales_Amount]]&gt;100000,Table1[[#This Row],[Sales_Amount]]&lt;200000),"Medium",Table1[[#This Row],[Sales_Amount]]&lt;100000,"Low")</f>
        <v>Medium</v>
      </c>
      <c r="N23" t="str">
        <f>TEXT(Table1[[#This Row],[Order_Date]],"MMMM")</f>
        <v>July</v>
      </c>
      <c r="O23">
        <f>YEAR(Table1[[#This Row],[Order_Date]])</f>
        <v>2025</v>
      </c>
    </row>
    <row r="24" spans="1:15" x14ac:dyDescent="0.3">
      <c r="A24" t="s">
        <v>53</v>
      </c>
      <c r="B24" s="1">
        <v>45843</v>
      </c>
      <c r="C24" t="s">
        <v>12</v>
      </c>
      <c r="D24" t="s">
        <v>51</v>
      </c>
      <c r="E24" t="s">
        <v>14</v>
      </c>
      <c r="F24" s="3">
        <v>6</v>
      </c>
      <c r="G24" s="4">
        <v>1878</v>
      </c>
      <c r="H24" s="4">
        <v>11268</v>
      </c>
      <c r="I24" s="4">
        <v>8749.52</v>
      </c>
      <c r="J24" s="4">
        <v>2518.48</v>
      </c>
      <c r="K24" t="s">
        <v>15</v>
      </c>
      <c r="L24" s="3">
        <f>(Table1[[#This Row],[Profit]]/Table1[[#This Row],[Sales_Amount]])*100</f>
        <v>22.350727724529644</v>
      </c>
      <c r="M24" s="4" t="str" cm="1">
        <f t="array" ref="M24">_xlfn.IFS(Table1[[#This Row],[Sales_Amount]]&gt;200000,"High",AND(Table1[[#This Row],[Sales_Amount]]&gt;100000,Table1[[#This Row],[Sales_Amount]]&lt;200000),"Medium",Table1[[#This Row],[Sales_Amount]]&lt;100000,"Low")</f>
        <v>Low</v>
      </c>
      <c r="N24" t="str">
        <f>TEXT(Table1[[#This Row],[Order_Date]],"MMMM")</f>
        <v>July</v>
      </c>
      <c r="O24">
        <f>YEAR(Table1[[#This Row],[Order_Date]])</f>
        <v>2025</v>
      </c>
    </row>
    <row r="25" spans="1:15" x14ac:dyDescent="0.3">
      <c r="A25" t="s">
        <v>54</v>
      </c>
      <c r="B25" s="1">
        <v>45844</v>
      </c>
      <c r="C25" t="s">
        <v>17</v>
      </c>
      <c r="D25" t="s">
        <v>34</v>
      </c>
      <c r="E25" t="s">
        <v>19</v>
      </c>
      <c r="F25" s="3">
        <v>1</v>
      </c>
      <c r="G25" s="4">
        <v>15503</v>
      </c>
      <c r="H25" s="4">
        <v>15503</v>
      </c>
      <c r="I25" s="4">
        <v>9615.27</v>
      </c>
      <c r="J25" s="4">
        <v>5887.73</v>
      </c>
      <c r="K25" t="s">
        <v>15</v>
      </c>
      <c r="L25" s="3">
        <f>(Table1[[#This Row],[Profit]]/Table1[[#This Row],[Sales_Amount]])*100</f>
        <v>37.978004257240535</v>
      </c>
      <c r="M25" s="4" t="str" cm="1">
        <f t="array" ref="M25">_xlfn.IFS(Table1[[#This Row],[Sales_Amount]]&gt;200000,"High",AND(Table1[[#This Row],[Sales_Amount]]&gt;100000,Table1[[#This Row],[Sales_Amount]]&lt;200000),"Medium",Table1[[#This Row],[Sales_Amount]]&lt;100000,"Low")</f>
        <v>Low</v>
      </c>
      <c r="N25" t="str">
        <f>TEXT(Table1[[#This Row],[Order_Date]],"MMMM")</f>
        <v>July</v>
      </c>
      <c r="O25">
        <f>YEAR(Table1[[#This Row],[Order_Date]])</f>
        <v>2025</v>
      </c>
    </row>
    <row r="26" spans="1:15" x14ac:dyDescent="0.3">
      <c r="A26" t="s">
        <v>55</v>
      </c>
      <c r="B26" s="1">
        <v>45845</v>
      </c>
      <c r="C26" t="s">
        <v>12</v>
      </c>
      <c r="D26" t="s">
        <v>56</v>
      </c>
      <c r="E26" t="s">
        <v>22</v>
      </c>
      <c r="F26" s="3">
        <v>5</v>
      </c>
      <c r="G26" s="4">
        <v>44342</v>
      </c>
      <c r="H26" s="4">
        <v>221710</v>
      </c>
      <c r="I26" s="4">
        <v>165312.37</v>
      </c>
      <c r="J26" s="4">
        <v>56397.63</v>
      </c>
      <c r="K26" t="s">
        <v>23</v>
      </c>
      <c r="L26" s="3">
        <f>(Table1[[#This Row],[Profit]]/Table1[[#This Row],[Sales_Amount]])*100</f>
        <v>25.4375670921474</v>
      </c>
      <c r="M26" s="4" t="str" cm="1">
        <f t="array" ref="M26">_xlfn.IFS(Table1[[#This Row],[Sales_Amount]]&gt;200000,"High",AND(Table1[[#This Row],[Sales_Amount]]&gt;100000,Table1[[#This Row],[Sales_Amount]]&lt;200000),"Medium",Table1[[#This Row],[Sales_Amount]]&lt;100000,"Low")</f>
        <v>High</v>
      </c>
      <c r="N26" t="str">
        <f>TEXT(Table1[[#This Row],[Order_Date]],"MMMM")</f>
        <v>July</v>
      </c>
      <c r="O26">
        <f>YEAR(Table1[[#This Row],[Order_Date]])</f>
        <v>2025</v>
      </c>
    </row>
    <row r="27" spans="1:15" x14ac:dyDescent="0.3">
      <c r="A27" t="s">
        <v>57</v>
      </c>
      <c r="B27" s="1">
        <v>45846</v>
      </c>
      <c r="C27" t="s">
        <v>28</v>
      </c>
      <c r="D27" t="s">
        <v>34</v>
      </c>
      <c r="E27" t="s">
        <v>37</v>
      </c>
      <c r="F27" s="3">
        <v>4</v>
      </c>
      <c r="G27" s="4">
        <v>6681</v>
      </c>
      <c r="H27" s="4">
        <v>26724</v>
      </c>
      <c r="I27" s="4">
        <v>16811.509999999998</v>
      </c>
      <c r="J27" s="4">
        <v>9912.49</v>
      </c>
      <c r="K27" t="s">
        <v>58</v>
      </c>
      <c r="L27" s="3">
        <f>(Table1[[#This Row],[Profit]]/Table1[[#This Row],[Sales_Amount]])*100</f>
        <v>37.092089507558747</v>
      </c>
      <c r="M27" s="4" t="str" cm="1">
        <f t="array" ref="M27">_xlfn.IFS(Table1[[#This Row],[Sales_Amount]]&gt;200000,"High",AND(Table1[[#This Row],[Sales_Amount]]&gt;100000,Table1[[#This Row],[Sales_Amount]]&lt;200000),"Medium",Table1[[#This Row],[Sales_Amount]]&lt;100000,"Low")</f>
        <v>Low</v>
      </c>
      <c r="N27" t="str">
        <f>TEXT(Table1[[#This Row],[Order_Date]],"MMMM")</f>
        <v>July</v>
      </c>
      <c r="O27">
        <f>YEAR(Table1[[#This Row],[Order_Date]])</f>
        <v>2025</v>
      </c>
    </row>
    <row r="28" spans="1:15" x14ac:dyDescent="0.3">
      <c r="A28" t="s">
        <v>59</v>
      </c>
      <c r="B28" s="1">
        <v>45847</v>
      </c>
      <c r="C28" t="s">
        <v>17</v>
      </c>
      <c r="D28" t="s">
        <v>18</v>
      </c>
      <c r="E28" t="s">
        <v>37</v>
      </c>
      <c r="F28" s="3">
        <v>1</v>
      </c>
      <c r="G28" s="4">
        <v>44629</v>
      </c>
      <c r="H28" s="4">
        <v>44629</v>
      </c>
      <c r="I28" s="4">
        <v>35526.32</v>
      </c>
      <c r="J28" s="4">
        <v>9102.68</v>
      </c>
      <c r="K28" t="s">
        <v>58</v>
      </c>
      <c r="L28" s="3">
        <f>(Table1[[#This Row],[Profit]]/Table1[[#This Row],[Sales_Amount]])*100</f>
        <v>20.396334222142553</v>
      </c>
      <c r="M28" s="4" t="str" cm="1">
        <f t="array" ref="M28">_xlfn.IFS(Table1[[#This Row],[Sales_Amount]]&gt;200000,"High",AND(Table1[[#This Row],[Sales_Amount]]&gt;100000,Table1[[#This Row],[Sales_Amount]]&lt;200000),"Medium",Table1[[#This Row],[Sales_Amount]]&lt;100000,"Low")</f>
        <v>Low</v>
      </c>
      <c r="N28" t="str">
        <f>TEXT(Table1[[#This Row],[Order_Date]],"MMMM")</f>
        <v>July</v>
      </c>
      <c r="O28">
        <f>YEAR(Table1[[#This Row],[Order_Date]])</f>
        <v>2025</v>
      </c>
    </row>
    <row r="29" spans="1:15" x14ac:dyDescent="0.3">
      <c r="A29" t="s">
        <v>60</v>
      </c>
      <c r="B29" s="1">
        <v>45848</v>
      </c>
      <c r="C29" t="s">
        <v>28</v>
      </c>
      <c r="D29" t="s">
        <v>13</v>
      </c>
      <c r="E29" t="s">
        <v>14</v>
      </c>
      <c r="F29" s="3">
        <v>4</v>
      </c>
      <c r="G29" s="4">
        <v>13056</v>
      </c>
      <c r="H29" s="4">
        <v>52224</v>
      </c>
      <c r="I29" s="4">
        <v>34314.44</v>
      </c>
      <c r="J29" s="4">
        <v>17909.560000000001</v>
      </c>
      <c r="K29" t="s">
        <v>58</v>
      </c>
      <c r="L29" s="3">
        <f>(Table1[[#This Row],[Profit]]/Table1[[#This Row],[Sales_Amount]])*100</f>
        <v>34.293734681372548</v>
      </c>
      <c r="M29" s="4" t="str" cm="1">
        <f t="array" ref="M29">_xlfn.IFS(Table1[[#This Row],[Sales_Amount]]&gt;200000,"High",AND(Table1[[#This Row],[Sales_Amount]]&gt;100000,Table1[[#This Row],[Sales_Amount]]&lt;200000),"Medium",Table1[[#This Row],[Sales_Amount]]&lt;100000,"Low")</f>
        <v>Low</v>
      </c>
      <c r="N29" t="str">
        <f>TEXT(Table1[[#This Row],[Order_Date]],"MMMM")</f>
        <v>July</v>
      </c>
      <c r="O29">
        <f>YEAR(Table1[[#This Row],[Order_Date]])</f>
        <v>2025</v>
      </c>
    </row>
    <row r="30" spans="1:15" x14ac:dyDescent="0.3">
      <c r="A30" t="s">
        <v>61</v>
      </c>
      <c r="B30" s="1">
        <v>45849</v>
      </c>
      <c r="C30" t="s">
        <v>17</v>
      </c>
      <c r="D30" t="s">
        <v>56</v>
      </c>
      <c r="E30" t="s">
        <v>32</v>
      </c>
      <c r="F30" s="3">
        <v>8</v>
      </c>
      <c r="G30" s="4">
        <v>16871</v>
      </c>
      <c r="H30" s="4">
        <v>134968</v>
      </c>
      <c r="I30" s="4">
        <v>116389.09</v>
      </c>
      <c r="J30" s="4">
        <v>18578.91</v>
      </c>
      <c r="K30" t="s">
        <v>15</v>
      </c>
      <c r="L30" s="3">
        <f>(Table1[[#This Row],[Profit]]/Table1[[#This Row],[Sales_Amount]])*100</f>
        <v>13.765418469563157</v>
      </c>
      <c r="M30" s="4" t="str" cm="1">
        <f t="array" ref="M30">_xlfn.IFS(Table1[[#This Row],[Sales_Amount]]&gt;200000,"High",AND(Table1[[#This Row],[Sales_Amount]]&gt;100000,Table1[[#This Row],[Sales_Amount]]&lt;200000),"Medium",Table1[[#This Row],[Sales_Amount]]&lt;100000,"Low")</f>
        <v>Medium</v>
      </c>
      <c r="N30" t="str">
        <f>TEXT(Table1[[#This Row],[Order_Date]],"MMMM")</f>
        <v>July</v>
      </c>
      <c r="O30">
        <f>YEAR(Table1[[#This Row],[Order_Date]])</f>
        <v>2025</v>
      </c>
    </row>
    <row r="31" spans="1:15" x14ac:dyDescent="0.3">
      <c r="A31" t="s">
        <v>62</v>
      </c>
      <c r="B31" s="1">
        <v>45850</v>
      </c>
      <c r="C31" t="s">
        <v>12</v>
      </c>
      <c r="D31" t="s">
        <v>13</v>
      </c>
      <c r="E31" t="s">
        <v>19</v>
      </c>
      <c r="F31" s="3">
        <v>9</v>
      </c>
      <c r="G31" s="4">
        <v>1467</v>
      </c>
      <c r="H31" s="4">
        <v>13203</v>
      </c>
      <c r="I31" s="4">
        <v>11759.9</v>
      </c>
      <c r="J31" s="4">
        <v>1443.1</v>
      </c>
      <c r="K31" t="s">
        <v>58</v>
      </c>
      <c r="L31" s="3">
        <f>(Table1[[#This Row],[Profit]]/Table1[[#This Row],[Sales_Amount]])*100</f>
        <v>10.930091645838067</v>
      </c>
      <c r="M31" s="4" t="str" cm="1">
        <f t="array" ref="M31">_xlfn.IFS(Table1[[#This Row],[Sales_Amount]]&gt;200000,"High",AND(Table1[[#This Row],[Sales_Amount]]&gt;100000,Table1[[#This Row],[Sales_Amount]]&lt;200000),"Medium",Table1[[#This Row],[Sales_Amount]]&lt;100000,"Low")</f>
        <v>Low</v>
      </c>
      <c r="N31" t="str">
        <f>TEXT(Table1[[#This Row],[Order_Date]],"MMMM")</f>
        <v>July</v>
      </c>
      <c r="O31">
        <f>YEAR(Table1[[#This Row],[Order_Date]])</f>
        <v>2025</v>
      </c>
    </row>
    <row r="32" spans="1:15" x14ac:dyDescent="0.3">
      <c r="A32" t="s">
        <v>63</v>
      </c>
      <c r="B32" s="1">
        <v>45851</v>
      </c>
      <c r="C32" t="s">
        <v>12</v>
      </c>
      <c r="D32" t="s">
        <v>21</v>
      </c>
      <c r="E32" t="s">
        <v>37</v>
      </c>
      <c r="F32" s="3">
        <v>4</v>
      </c>
      <c r="G32" s="4">
        <v>26782</v>
      </c>
      <c r="H32" s="4">
        <v>107128</v>
      </c>
      <c r="I32" s="4">
        <v>93279.87</v>
      </c>
      <c r="J32" s="4">
        <v>13848.13</v>
      </c>
      <c r="K32" t="s">
        <v>15</v>
      </c>
      <c r="L32" s="3">
        <f>(Table1[[#This Row],[Profit]]/Table1[[#This Row],[Sales_Amount]])*100</f>
        <v>12.926713837652153</v>
      </c>
      <c r="M32" s="4" t="str" cm="1">
        <f t="array" ref="M32">_xlfn.IFS(Table1[[#This Row],[Sales_Amount]]&gt;200000,"High",AND(Table1[[#This Row],[Sales_Amount]]&gt;100000,Table1[[#This Row],[Sales_Amount]]&lt;200000),"Medium",Table1[[#This Row],[Sales_Amount]]&lt;100000,"Low")</f>
        <v>Medium</v>
      </c>
      <c r="N32" t="str">
        <f>TEXT(Table1[[#This Row],[Order_Date]],"MMMM")</f>
        <v>July</v>
      </c>
      <c r="O32">
        <f>YEAR(Table1[[#This Row],[Order_Date]])</f>
        <v>2025</v>
      </c>
    </row>
    <row r="33" spans="1:15" x14ac:dyDescent="0.3">
      <c r="A33" t="s">
        <v>64</v>
      </c>
      <c r="B33" s="1">
        <v>45852</v>
      </c>
      <c r="C33" t="s">
        <v>28</v>
      </c>
      <c r="D33" t="s">
        <v>13</v>
      </c>
      <c r="E33" t="s">
        <v>32</v>
      </c>
      <c r="F33" s="3">
        <v>8</v>
      </c>
      <c r="G33" s="4">
        <v>19194</v>
      </c>
      <c r="H33" s="4">
        <v>153552</v>
      </c>
      <c r="I33" s="4">
        <v>111617.29</v>
      </c>
      <c r="J33" s="4">
        <v>41934.71</v>
      </c>
      <c r="K33" t="s">
        <v>23</v>
      </c>
      <c r="L33" s="3">
        <f>(Table1[[#This Row],[Profit]]/Table1[[#This Row],[Sales_Amount]])*100</f>
        <v>27.309777795144313</v>
      </c>
      <c r="M33" s="4" t="str" cm="1">
        <f t="array" ref="M33">_xlfn.IFS(Table1[[#This Row],[Sales_Amount]]&gt;200000,"High",AND(Table1[[#This Row],[Sales_Amount]]&gt;100000,Table1[[#This Row],[Sales_Amount]]&lt;200000),"Medium",Table1[[#This Row],[Sales_Amount]]&lt;100000,"Low")</f>
        <v>Medium</v>
      </c>
      <c r="N33" t="str">
        <f>TEXT(Table1[[#This Row],[Order_Date]],"MMMM")</f>
        <v>July</v>
      </c>
      <c r="O33">
        <f>YEAR(Table1[[#This Row],[Order_Date]])</f>
        <v>2025</v>
      </c>
    </row>
    <row r="34" spans="1:15" x14ac:dyDescent="0.3">
      <c r="A34" t="s">
        <v>65</v>
      </c>
      <c r="B34" s="1">
        <v>45853</v>
      </c>
      <c r="C34" t="s">
        <v>17</v>
      </c>
      <c r="D34" t="s">
        <v>34</v>
      </c>
      <c r="E34" t="s">
        <v>22</v>
      </c>
      <c r="F34" s="3">
        <v>1</v>
      </c>
      <c r="G34" s="4">
        <v>38457</v>
      </c>
      <c r="H34" s="4">
        <v>38457</v>
      </c>
      <c r="I34" s="4">
        <v>31562.47</v>
      </c>
      <c r="J34" s="4">
        <v>6894.53</v>
      </c>
      <c r="K34" t="s">
        <v>15</v>
      </c>
      <c r="L34" s="3">
        <f>(Table1[[#This Row],[Profit]]/Table1[[#This Row],[Sales_Amount]])*100</f>
        <v>17.927893491431988</v>
      </c>
      <c r="M34" s="4" t="str" cm="1">
        <f t="array" ref="M34">_xlfn.IFS(Table1[[#This Row],[Sales_Amount]]&gt;200000,"High",AND(Table1[[#This Row],[Sales_Amount]]&gt;100000,Table1[[#This Row],[Sales_Amount]]&lt;200000),"Medium",Table1[[#This Row],[Sales_Amount]]&lt;100000,"Low")</f>
        <v>Low</v>
      </c>
      <c r="N34" t="str">
        <f>TEXT(Table1[[#This Row],[Order_Date]],"MMMM")</f>
        <v>July</v>
      </c>
      <c r="O34">
        <f>YEAR(Table1[[#This Row],[Order_Date]])</f>
        <v>2025</v>
      </c>
    </row>
    <row r="35" spans="1:15" x14ac:dyDescent="0.3">
      <c r="A35" t="s">
        <v>66</v>
      </c>
      <c r="B35" s="1">
        <v>45854</v>
      </c>
      <c r="C35" t="s">
        <v>12</v>
      </c>
      <c r="D35" t="s">
        <v>18</v>
      </c>
      <c r="E35" t="s">
        <v>25</v>
      </c>
      <c r="F35" s="3">
        <v>8</v>
      </c>
      <c r="G35" s="4">
        <v>33454</v>
      </c>
      <c r="H35" s="4">
        <v>267632</v>
      </c>
      <c r="I35" s="4">
        <v>234396.42</v>
      </c>
      <c r="J35" s="4">
        <v>33235.58</v>
      </c>
      <c r="K35" t="s">
        <v>15</v>
      </c>
      <c r="L35" s="3">
        <f>(Table1[[#This Row],[Profit]]/Table1[[#This Row],[Sales_Amount]])*100</f>
        <v>12.418387935672865</v>
      </c>
      <c r="M35" s="4" t="str" cm="1">
        <f t="array" ref="M35">_xlfn.IFS(Table1[[#This Row],[Sales_Amount]]&gt;200000,"High",AND(Table1[[#This Row],[Sales_Amount]]&gt;100000,Table1[[#This Row],[Sales_Amount]]&lt;200000),"Medium",Table1[[#This Row],[Sales_Amount]]&lt;100000,"Low")</f>
        <v>High</v>
      </c>
      <c r="N35" t="str">
        <f>TEXT(Table1[[#This Row],[Order_Date]],"MMMM")</f>
        <v>July</v>
      </c>
      <c r="O35">
        <f>YEAR(Table1[[#This Row],[Order_Date]])</f>
        <v>2025</v>
      </c>
    </row>
    <row r="36" spans="1:15" x14ac:dyDescent="0.3">
      <c r="A36" t="s">
        <v>67</v>
      </c>
      <c r="B36" s="1">
        <v>45855</v>
      </c>
      <c r="C36" t="s">
        <v>12</v>
      </c>
      <c r="D36" t="s">
        <v>21</v>
      </c>
      <c r="E36" t="s">
        <v>14</v>
      </c>
      <c r="F36" s="3">
        <v>10</v>
      </c>
      <c r="G36" s="4">
        <v>4953</v>
      </c>
      <c r="H36" s="4">
        <v>49530</v>
      </c>
      <c r="I36" s="4">
        <v>39750.980000000003</v>
      </c>
      <c r="J36" s="4">
        <v>9779.02</v>
      </c>
      <c r="K36" t="s">
        <v>15</v>
      </c>
      <c r="L36" s="3">
        <f>(Table1[[#This Row],[Profit]]/Table1[[#This Row],[Sales_Amount]])*100</f>
        <v>19.743630123157683</v>
      </c>
      <c r="M36" s="4" t="str" cm="1">
        <f t="array" ref="M36">_xlfn.IFS(Table1[[#This Row],[Sales_Amount]]&gt;200000,"High",AND(Table1[[#This Row],[Sales_Amount]]&gt;100000,Table1[[#This Row],[Sales_Amount]]&lt;200000),"Medium",Table1[[#This Row],[Sales_Amount]]&lt;100000,"Low")</f>
        <v>Low</v>
      </c>
      <c r="N36" t="str">
        <f>TEXT(Table1[[#This Row],[Order_Date]],"MMMM")</f>
        <v>July</v>
      </c>
      <c r="O36">
        <f>YEAR(Table1[[#This Row],[Order_Date]])</f>
        <v>2025</v>
      </c>
    </row>
    <row r="37" spans="1:15" x14ac:dyDescent="0.3">
      <c r="A37" t="s">
        <v>68</v>
      </c>
      <c r="B37" s="1">
        <v>45856</v>
      </c>
      <c r="C37" t="s">
        <v>17</v>
      </c>
      <c r="D37" t="s">
        <v>21</v>
      </c>
      <c r="E37" t="s">
        <v>22</v>
      </c>
      <c r="F37" s="3">
        <v>10</v>
      </c>
      <c r="G37" s="4">
        <v>39462</v>
      </c>
      <c r="H37" s="4">
        <v>394620</v>
      </c>
      <c r="I37" s="4">
        <v>241476.86</v>
      </c>
      <c r="J37" s="4">
        <v>153143.14000000001</v>
      </c>
      <c r="K37" t="s">
        <v>26</v>
      </c>
      <c r="L37" s="3">
        <f>(Table1[[#This Row],[Profit]]/Table1[[#This Row],[Sales_Amount]])*100</f>
        <v>38.807749227104559</v>
      </c>
      <c r="M37" s="4" t="str" cm="1">
        <f t="array" ref="M37">_xlfn.IFS(Table1[[#This Row],[Sales_Amount]]&gt;200000,"High",AND(Table1[[#This Row],[Sales_Amount]]&gt;100000,Table1[[#This Row],[Sales_Amount]]&lt;200000),"Medium",Table1[[#This Row],[Sales_Amount]]&lt;100000,"Low")</f>
        <v>High</v>
      </c>
      <c r="N37" t="str">
        <f>TEXT(Table1[[#This Row],[Order_Date]],"MMMM")</f>
        <v>July</v>
      </c>
      <c r="O37">
        <f>YEAR(Table1[[#This Row],[Order_Date]])</f>
        <v>2025</v>
      </c>
    </row>
    <row r="38" spans="1:15" x14ac:dyDescent="0.3">
      <c r="A38" t="s">
        <v>69</v>
      </c>
      <c r="B38" s="1">
        <v>45857</v>
      </c>
      <c r="C38" t="s">
        <v>12</v>
      </c>
      <c r="D38" t="s">
        <v>44</v>
      </c>
      <c r="E38" t="s">
        <v>22</v>
      </c>
      <c r="F38" s="3">
        <v>6</v>
      </c>
      <c r="G38" s="4">
        <v>16142</v>
      </c>
      <c r="H38" s="4">
        <v>96852</v>
      </c>
      <c r="I38" s="4">
        <v>65828.789999999994</v>
      </c>
      <c r="J38" s="4">
        <v>31023.21</v>
      </c>
      <c r="K38" t="s">
        <v>58</v>
      </c>
      <c r="L38" s="3">
        <f>(Table1[[#This Row],[Profit]]/Table1[[#This Row],[Sales_Amount]])*100</f>
        <v>32.03156362284723</v>
      </c>
      <c r="M38" s="4" t="str" cm="1">
        <f t="array" ref="M38">_xlfn.IFS(Table1[[#This Row],[Sales_Amount]]&gt;200000,"High",AND(Table1[[#This Row],[Sales_Amount]]&gt;100000,Table1[[#This Row],[Sales_Amount]]&lt;200000),"Medium",Table1[[#This Row],[Sales_Amount]]&lt;100000,"Low")</f>
        <v>Low</v>
      </c>
      <c r="N38" t="str">
        <f>TEXT(Table1[[#This Row],[Order_Date]],"MMMM")</f>
        <v>July</v>
      </c>
      <c r="O38">
        <f>YEAR(Table1[[#This Row],[Order_Date]])</f>
        <v>2025</v>
      </c>
    </row>
    <row r="39" spans="1:15" x14ac:dyDescent="0.3">
      <c r="A39" t="s">
        <v>70</v>
      </c>
      <c r="B39" s="1">
        <v>45858</v>
      </c>
      <c r="C39" t="s">
        <v>17</v>
      </c>
      <c r="D39" t="s">
        <v>29</v>
      </c>
      <c r="E39" t="s">
        <v>14</v>
      </c>
      <c r="F39" s="3">
        <v>1</v>
      </c>
      <c r="G39" s="4">
        <v>30534</v>
      </c>
      <c r="H39" s="4">
        <v>30534</v>
      </c>
      <c r="I39" s="4">
        <v>24010.34</v>
      </c>
      <c r="J39" s="4">
        <v>6523.66</v>
      </c>
      <c r="K39" t="s">
        <v>23</v>
      </c>
      <c r="L39" s="3">
        <f>(Table1[[#This Row],[Profit]]/Table1[[#This Row],[Sales_Amount]])*100</f>
        <v>21.365232200170301</v>
      </c>
      <c r="M39" s="4" t="str" cm="1">
        <f t="array" ref="M39">_xlfn.IFS(Table1[[#This Row],[Sales_Amount]]&gt;200000,"High",AND(Table1[[#This Row],[Sales_Amount]]&gt;100000,Table1[[#This Row],[Sales_Amount]]&lt;200000),"Medium",Table1[[#This Row],[Sales_Amount]]&lt;100000,"Low")</f>
        <v>Low</v>
      </c>
      <c r="N39" t="str">
        <f>TEXT(Table1[[#This Row],[Order_Date]],"MMMM")</f>
        <v>July</v>
      </c>
      <c r="O39">
        <f>YEAR(Table1[[#This Row],[Order_Date]])</f>
        <v>2025</v>
      </c>
    </row>
    <row r="40" spans="1:15" x14ac:dyDescent="0.3">
      <c r="A40" t="s">
        <v>71</v>
      </c>
      <c r="B40" s="1">
        <v>45859</v>
      </c>
      <c r="C40" t="s">
        <v>12</v>
      </c>
      <c r="D40" t="s">
        <v>34</v>
      </c>
      <c r="E40" t="s">
        <v>32</v>
      </c>
      <c r="F40" s="3">
        <v>3</v>
      </c>
      <c r="G40" s="4">
        <v>23372</v>
      </c>
      <c r="H40" s="4">
        <v>70116</v>
      </c>
      <c r="I40" s="4">
        <v>60598.400000000001</v>
      </c>
      <c r="J40" s="4">
        <v>9517.6</v>
      </c>
      <c r="K40" t="s">
        <v>26</v>
      </c>
      <c r="L40" s="3">
        <f>(Table1[[#This Row],[Profit]]/Table1[[#This Row],[Sales_Amount]])*100</f>
        <v>13.574077243425181</v>
      </c>
      <c r="M40" s="4" t="str" cm="1">
        <f t="array" ref="M40">_xlfn.IFS(Table1[[#This Row],[Sales_Amount]]&gt;200000,"High",AND(Table1[[#This Row],[Sales_Amount]]&gt;100000,Table1[[#This Row],[Sales_Amount]]&lt;200000),"Medium",Table1[[#This Row],[Sales_Amount]]&lt;100000,"Low")</f>
        <v>Low</v>
      </c>
      <c r="N40" t="str">
        <f>TEXT(Table1[[#This Row],[Order_Date]],"MMMM")</f>
        <v>July</v>
      </c>
      <c r="O40">
        <f>YEAR(Table1[[#This Row],[Order_Date]])</f>
        <v>2025</v>
      </c>
    </row>
    <row r="41" spans="1:15" x14ac:dyDescent="0.3">
      <c r="A41" t="s">
        <v>72</v>
      </c>
      <c r="B41" s="1">
        <v>45860</v>
      </c>
      <c r="C41" t="s">
        <v>17</v>
      </c>
      <c r="D41" t="s">
        <v>44</v>
      </c>
      <c r="E41" t="s">
        <v>37</v>
      </c>
      <c r="F41" s="3">
        <v>9</v>
      </c>
      <c r="G41" s="4">
        <v>46607</v>
      </c>
      <c r="H41" s="4">
        <v>419463</v>
      </c>
      <c r="I41" s="4">
        <v>289746.21999999997</v>
      </c>
      <c r="J41" s="4">
        <v>129716.78</v>
      </c>
      <c r="K41" t="s">
        <v>15</v>
      </c>
      <c r="L41" s="3">
        <f>(Table1[[#This Row],[Profit]]/Table1[[#This Row],[Sales_Amount]])*100</f>
        <v>30.924486784293254</v>
      </c>
      <c r="M41" s="4" t="str" cm="1">
        <f t="array" ref="M41">_xlfn.IFS(Table1[[#This Row],[Sales_Amount]]&gt;200000,"High",AND(Table1[[#This Row],[Sales_Amount]]&gt;100000,Table1[[#This Row],[Sales_Amount]]&lt;200000),"Medium",Table1[[#This Row],[Sales_Amount]]&lt;100000,"Low")</f>
        <v>High</v>
      </c>
      <c r="N41" t="str">
        <f>TEXT(Table1[[#This Row],[Order_Date]],"MMMM")</f>
        <v>July</v>
      </c>
      <c r="O41">
        <f>YEAR(Table1[[#This Row],[Order_Date]])</f>
        <v>2025</v>
      </c>
    </row>
    <row r="42" spans="1:15" x14ac:dyDescent="0.3">
      <c r="A42" t="s">
        <v>73</v>
      </c>
      <c r="B42" s="1">
        <v>45861</v>
      </c>
      <c r="C42" t="s">
        <v>12</v>
      </c>
      <c r="D42" t="s">
        <v>44</v>
      </c>
      <c r="E42" t="s">
        <v>32</v>
      </c>
      <c r="F42" s="3">
        <v>2</v>
      </c>
      <c r="G42" s="4">
        <v>7514</v>
      </c>
      <c r="H42" s="4">
        <v>15028</v>
      </c>
      <c r="I42" s="4">
        <v>12363.91</v>
      </c>
      <c r="J42" s="4">
        <v>2664.09</v>
      </c>
      <c r="K42" t="s">
        <v>26</v>
      </c>
      <c r="L42" s="3">
        <f>(Table1[[#This Row],[Profit]]/Table1[[#This Row],[Sales_Amount]])*100</f>
        <v>17.727508650519034</v>
      </c>
      <c r="M42" s="4" t="str" cm="1">
        <f t="array" ref="M42">_xlfn.IFS(Table1[[#This Row],[Sales_Amount]]&gt;200000,"High",AND(Table1[[#This Row],[Sales_Amount]]&gt;100000,Table1[[#This Row],[Sales_Amount]]&lt;200000),"Medium",Table1[[#This Row],[Sales_Amount]]&lt;100000,"Low")</f>
        <v>Low</v>
      </c>
      <c r="N42" t="str">
        <f>TEXT(Table1[[#This Row],[Order_Date]],"MMMM")</f>
        <v>July</v>
      </c>
      <c r="O42">
        <f>YEAR(Table1[[#This Row],[Order_Date]])</f>
        <v>2025</v>
      </c>
    </row>
    <row r="43" spans="1:15" x14ac:dyDescent="0.3">
      <c r="A43" t="s">
        <v>74</v>
      </c>
      <c r="B43" s="1">
        <v>45862</v>
      </c>
      <c r="C43" t="s">
        <v>40</v>
      </c>
      <c r="D43" t="s">
        <v>56</v>
      </c>
      <c r="E43" t="s">
        <v>22</v>
      </c>
      <c r="F43" s="3">
        <v>6</v>
      </c>
      <c r="G43" s="4">
        <v>13842</v>
      </c>
      <c r="H43" s="4">
        <v>83052</v>
      </c>
      <c r="I43" s="4">
        <v>66960.600000000006</v>
      </c>
      <c r="J43" s="4">
        <v>16091.4</v>
      </c>
      <c r="K43" t="s">
        <v>26</v>
      </c>
      <c r="L43" s="3">
        <f>(Table1[[#This Row],[Profit]]/Table1[[#This Row],[Sales_Amount]])*100</f>
        <v>19.375090304869239</v>
      </c>
      <c r="M43" s="4" t="str" cm="1">
        <f t="array" ref="M43">_xlfn.IFS(Table1[[#This Row],[Sales_Amount]]&gt;200000,"High",AND(Table1[[#This Row],[Sales_Amount]]&gt;100000,Table1[[#This Row],[Sales_Amount]]&lt;200000),"Medium",Table1[[#This Row],[Sales_Amount]]&lt;100000,"Low")</f>
        <v>Low</v>
      </c>
      <c r="N43" t="str">
        <f>TEXT(Table1[[#This Row],[Order_Date]],"MMMM")</f>
        <v>July</v>
      </c>
      <c r="O43">
        <f>YEAR(Table1[[#This Row],[Order_Date]])</f>
        <v>2025</v>
      </c>
    </row>
    <row r="44" spans="1:15" x14ac:dyDescent="0.3">
      <c r="A44" t="s">
        <v>75</v>
      </c>
      <c r="B44" s="1">
        <v>45863</v>
      </c>
      <c r="C44" t="s">
        <v>40</v>
      </c>
      <c r="D44" t="s">
        <v>13</v>
      </c>
      <c r="E44" t="s">
        <v>14</v>
      </c>
      <c r="F44" s="3">
        <v>7</v>
      </c>
      <c r="G44" s="4">
        <v>18632</v>
      </c>
      <c r="H44" s="4">
        <v>130424</v>
      </c>
      <c r="I44" s="4">
        <v>79979.39</v>
      </c>
      <c r="J44" s="4">
        <v>50444.61</v>
      </c>
      <c r="K44" t="s">
        <v>26</v>
      </c>
      <c r="L44" s="3">
        <f>(Table1[[#This Row],[Profit]]/Table1[[#This Row],[Sales_Amount]])*100</f>
        <v>38.677398331595413</v>
      </c>
      <c r="M44" s="4" t="str" cm="1">
        <f t="array" ref="M44">_xlfn.IFS(Table1[[#This Row],[Sales_Amount]]&gt;200000,"High",AND(Table1[[#This Row],[Sales_Amount]]&gt;100000,Table1[[#This Row],[Sales_Amount]]&lt;200000),"Medium",Table1[[#This Row],[Sales_Amount]]&lt;100000,"Low")</f>
        <v>Medium</v>
      </c>
      <c r="N44" t="str">
        <f>TEXT(Table1[[#This Row],[Order_Date]],"MMMM")</f>
        <v>July</v>
      </c>
      <c r="O44">
        <f>YEAR(Table1[[#This Row],[Order_Date]])</f>
        <v>2025</v>
      </c>
    </row>
    <row r="45" spans="1:15" x14ac:dyDescent="0.3">
      <c r="A45" t="s">
        <v>76</v>
      </c>
      <c r="B45" s="1">
        <v>45864</v>
      </c>
      <c r="C45" t="s">
        <v>17</v>
      </c>
      <c r="D45" t="s">
        <v>29</v>
      </c>
      <c r="E45" t="s">
        <v>19</v>
      </c>
      <c r="F45" s="3">
        <v>8</v>
      </c>
      <c r="G45" s="4">
        <v>36654</v>
      </c>
      <c r="H45" s="4">
        <v>293232</v>
      </c>
      <c r="I45" s="4">
        <v>238016.48</v>
      </c>
      <c r="J45" s="4">
        <v>55215.519999999997</v>
      </c>
      <c r="K45" t="s">
        <v>15</v>
      </c>
      <c r="L45" s="3">
        <f>(Table1[[#This Row],[Profit]]/Table1[[#This Row],[Sales_Amount]])*100</f>
        <v>18.829977628635344</v>
      </c>
      <c r="M45" s="4" t="str" cm="1">
        <f t="array" ref="M45">_xlfn.IFS(Table1[[#This Row],[Sales_Amount]]&gt;200000,"High",AND(Table1[[#This Row],[Sales_Amount]]&gt;100000,Table1[[#This Row],[Sales_Amount]]&lt;200000),"Medium",Table1[[#This Row],[Sales_Amount]]&lt;100000,"Low")</f>
        <v>High</v>
      </c>
      <c r="N45" t="str">
        <f>TEXT(Table1[[#This Row],[Order_Date]],"MMMM")</f>
        <v>July</v>
      </c>
      <c r="O45">
        <f>YEAR(Table1[[#This Row],[Order_Date]])</f>
        <v>2025</v>
      </c>
    </row>
    <row r="46" spans="1:15" x14ac:dyDescent="0.3">
      <c r="A46" t="s">
        <v>77</v>
      </c>
      <c r="B46" s="1">
        <v>45865</v>
      </c>
      <c r="C46" t="s">
        <v>12</v>
      </c>
      <c r="D46" t="s">
        <v>21</v>
      </c>
      <c r="E46" t="s">
        <v>22</v>
      </c>
      <c r="F46" s="3">
        <v>9</v>
      </c>
      <c r="G46" s="4">
        <v>2861</v>
      </c>
      <c r="H46" s="4">
        <v>25749</v>
      </c>
      <c r="I46" s="4">
        <v>21896.400000000001</v>
      </c>
      <c r="J46" s="4">
        <v>3852.6</v>
      </c>
      <c r="K46" t="s">
        <v>23</v>
      </c>
      <c r="L46" s="3">
        <f>(Table1[[#This Row],[Profit]]/Table1[[#This Row],[Sales_Amount]])*100</f>
        <v>14.962134451823372</v>
      </c>
      <c r="M46" s="4" t="str" cm="1">
        <f t="array" ref="M46">_xlfn.IFS(Table1[[#This Row],[Sales_Amount]]&gt;200000,"High",AND(Table1[[#This Row],[Sales_Amount]]&gt;100000,Table1[[#This Row],[Sales_Amount]]&lt;200000),"Medium",Table1[[#This Row],[Sales_Amount]]&lt;100000,"Low")</f>
        <v>Low</v>
      </c>
      <c r="N46" t="str">
        <f>TEXT(Table1[[#This Row],[Order_Date]],"MMMM")</f>
        <v>July</v>
      </c>
      <c r="O46">
        <f>YEAR(Table1[[#This Row],[Order_Date]])</f>
        <v>2025</v>
      </c>
    </row>
    <row r="47" spans="1:15" x14ac:dyDescent="0.3">
      <c r="A47" t="s">
        <v>78</v>
      </c>
      <c r="B47" s="1">
        <v>45866</v>
      </c>
      <c r="C47" t="s">
        <v>12</v>
      </c>
      <c r="D47" t="s">
        <v>51</v>
      </c>
      <c r="E47" t="s">
        <v>32</v>
      </c>
      <c r="F47" s="3">
        <v>6</v>
      </c>
      <c r="G47" s="4">
        <v>3114</v>
      </c>
      <c r="H47" s="4">
        <v>18684</v>
      </c>
      <c r="I47" s="4">
        <v>16249.05</v>
      </c>
      <c r="J47" s="4">
        <v>2434.9499999999998</v>
      </c>
      <c r="K47" t="s">
        <v>15</v>
      </c>
      <c r="L47" s="3">
        <f>(Table1[[#This Row],[Profit]]/Table1[[#This Row],[Sales_Amount]])*100</f>
        <v>13.032273603082849</v>
      </c>
      <c r="M47" s="4" t="str" cm="1">
        <f t="array" ref="M47">_xlfn.IFS(Table1[[#This Row],[Sales_Amount]]&gt;200000,"High",AND(Table1[[#This Row],[Sales_Amount]]&gt;100000,Table1[[#This Row],[Sales_Amount]]&lt;200000),"Medium",Table1[[#This Row],[Sales_Amount]]&lt;100000,"Low")</f>
        <v>Low</v>
      </c>
      <c r="N47" t="str">
        <f>TEXT(Table1[[#This Row],[Order_Date]],"MMMM")</f>
        <v>July</v>
      </c>
      <c r="O47">
        <f>YEAR(Table1[[#This Row],[Order_Date]])</f>
        <v>2025</v>
      </c>
    </row>
    <row r="48" spans="1:15" x14ac:dyDescent="0.3">
      <c r="A48" t="s">
        <v>79</v>
      </c>
      <c r="B48" s="1">
        <v>45867</v>
      </c>
      <c r="C48" t="s">
        <v>12</v>
      </c>
      <c r="D48" t="s">
        <v>13</v>
      </c>
      <c r="E48" t="s">
        <v>25</v>
      </c>
      <c r="F48" s="3">
        <v>7</v>
      </c>
      <c r="G48" s="4">
        <v>41175</v>
      </c>
      <c r="H48" s="4">
        <v>288225</v>
      </c>
      <c r="I48" s="4">
        <v>237740.46</v>
      </c>
      <c r="J48" s="4">
        <v>50484.54</v>
      </c>
      <c r="K48" t="s">
        <v>23</v>
      </c>
      <c r="L48" s="3">
        <f>(Table1[[#This Row],[Profit]]/Table1[[#This Row],[Sales_Amount]])*100</f>
        <v>17.515670049440541</v>
      </c>
      <c r="M48" s="4" t="str" cm="1">
        <f t="array" ref="M48">_xlfn.IFS(Table1[[#This Row],[Sales_Amount]]&gt;200000,"High",AND(Table1[[#This Row],[Sales_Amount]]&gt;100000,Table1[[#This Row],[Sales_Amount]]&lt;200000),"Medium",Table1[[#This Row],[Sales_Amount]]&lt;100000,"Low")</f>
        <v>High</v>
      </c>
      <c r="N48" t="str">
        <f>TEXT(Table1[[#This Row],[Order_Date]],"MMMM")</f>
        <v>July</v>
      </c>
      <c r="O48">
        <f>YEAR(Table1[[#This Row],[Order_Date]])</f>
        <v>2025</v>
      </c>
    </row>
    <row r="49" spans="1:15" x14ac:dyDescent="0.3">
      <c r="A49" t="s">
        <v>80</v>
      </c>
      <c r="B49" s="1">
        <v>45868</v>
      </c>
      <c r="C49" t="s">
        <v>28</v>
      </c>
      <c r="D49" t="s">
        <v>51</v>
      </c>
      <c r="E49" t="s">
        <v>14</v>
      </c>
      <c r="F49" s="3">
        <v>3</v>
      </c>
      <c r="G49" s="4">
        <v>48771</v>
      </c>
      <c r="H49" s="4">
        <v>146313</v>
      </c>
      <c r="I49" s="4">
        <v>128367.15</v>
      </c>
      <c r="J49" s="4">
        <v>17945.849999999999</v>
      </c>
      <c r="K49" t="s">
        <v>26</v>
      </c>
      <c r="L49" s="3">
        <f>(Table1[[#This Row],[Profit]]/Table1[[#This Row],[Sales_Amount]])*100</f>
        <v>12.265383117016258</v>
      </c>
      <c r="M49" s="4" t="str" cm="1">
        <f t="array" ref="M49">_xlfn.IFS(Table1[[#This Row],[Sales_Amount]]&gt;200000,"High",AND(Table1[[#This Row],[Sales_Amount]]&gt;100000,Table1[[#This Row],[Sales_Amount]]&lt;200000),"Medium",Table1[[#This Row],[Sales_Amount]]&lt;100000,"Low")</f>
        <v>Medium</v>
      </c>
      <c r="N49" t="str">
        <f>TEXT(Table1[[#This Row],[Order_Date]],"MMMM")</f>
        <v>July</v>
      </c>
      <c r="O49">
        <f>YEAR(Table1[[#This Row],[Order_Date]])</f>
        <v>2025</v>
      </c>
    </row>
    <row r="50" spans="1:15" x14ac:dyDescent="0.3">
      <c r="A50" t="s">
        <v>81</v>
      </c>
      <c r="B50" s="1">
        <v>45869</v>
      </c>
      <c r="C50" t="s">
        <v>28</v>
      </c>
      <c r="D50" t="s">
        <v>51</v>
      </c>
      <c r="E50" t="s">
        <v>19</v>
      </c>
      <c r="F50" s="3">
        <v>2</v>
      </c>
      <c r="G50" s="4">
        <v>25570</v>
      </c>
      <c r="H50" s="4">
        <v>51140</v>
      </c>
      <c r="I50" s="4">
        <v>44064.78</v>
      </c>
      <c r="J50" s="4">
        <v>7075.22</v>
      </c>
      <c r="K50" t="s">
        <v>23</v>
      </c>
      <c r="L50" s="3">
        <f>(Table1[[#This Row],[Profit]]/Table1[[#This Row],[Sales_Amount]])*100</f>
        <v>13.835001955416503</v>
      </c>
      <c r="M50" s="4" t="str" cm="1">
        <f t="array" ref="M50">_xlfn.IFS(Table1[[#This Row],[Sales_Amount]]&gt;200000,"High",AND(Table1[[#This Row],[Sales_Amount]]&gt;100000,Table1[[#This Row],[Sales_Amount]]&lt;200000),"Medium",Table1[[#This Row],[Sales_Amount]]&lt;100000,"Low")</f>
        <v>Low</v>
      </c>
      <c r="N50" t="str">
        <f>TEXT(Table1[[#This Row],[Order_Date]],"MMMM")</f>
        <v>July</v>
      </c>
      <c r="O50">
        <f>YEAR(Table1[[#This Row],[Order_Date]])</f>
        <v>2025</v>
      </c>
    </row>
    <row r="51" spans="1:15" x14ac:dyDescent="0.3">
      <c r="A51" t="s">
        <v>82</v>
      </c>
      <c r="B51" s="1">
        <v>45870</v>
      </c>
      <c r="C51" t="s">
        <v>12</v>
      </c>
      <c r="D51" t="s">
        <v>21</v>
      </c>
      <c r="E51" t="s">
        <v>32</v>
      </c>
      <c r="F51" s="3">
        <v>5</v>
      </c>
      <c r="G51" s="4">
        <v>15415</v>
      </c>
      <c r="H51" s="4">
        <v>77075</v>
      </c>
      <c r="I51" s="4">
        <v>51399.55</v>
      </c>
      <c r="J51" s="4">
        <v>25675.45</v>
      </c>
      <c r="K51" t="s">
        <v>26</v>
      </c>
      <c r="L51" s="3">
        <f>(Table1[[#This Row],[Profit]]/Table1[[#This Row],[Sales_Amount]])*100</f>
        <v>33.312293220888748</v>
      </c>
      <c r="M51" s="4" t="str" cm="1">
        <f t="array" ref="M51">_xlfn.IFS(Table1[[#This Row],[Sales_Amount]]&gt;200000,"High",AND(Table1[[#This Row],[Sales_Amount]]&gt;100000,Table1[[#This Row],[Sales_Amount]]&lt;200000),"Medium",Table1[[#This Row],[Sales_Amount]]&lt;100000,"Low")</f>
        <v>Low</v>
      </c>
      <c r="N51" t="str">
        <f>TEXT(Table1[[#This Row],[Order_Date]],"MMMM")</f>
        <v>August</v>
      </c>
      <c r="O51">
        <f>YEAR(Table1[[#This Row],[Order_Date]])</f>
        <v>2025</v>
      </c>
    </row>
    <row r="52" spans="1:15" x14ac:dyDescent="0.3">
      <c r="A52" t="s">
        <v>83</v>
      </c>
      <c r="B52" s="1">
        <v>45871</v>
      </c>
      <c r="C52" t="s">
        <v>28</v>
      </c>
      <c r="D52" t="s">
        <v>34</v>
      </c>
      <c r="E52" t="s">
        <v>14</v>
      </c>
      <c r="F52" s="3">
        <v>5</v>
      </c>
      <c r="G52" s="4">
        <v>23512</v>
      </c>
      <c r="H52" s="4">
        <v>117560</v>
      </c>
      <c r="I52" s="4">
        <v>93159.78</v>
      </c>
      <c r="J52" s="4">
        <v>24400.22</v>
      </c>
      <c r="K52" t="s">
        <v>15</v>
      </c>
      <c r="L52" s="3">
        <f>(Table1[[#This Row],[Profit]]/Table1[[#This Row],[Sales_Amount]])*100</f>
        <v>20.755546104117048</v>
      </c>
      <c r="M52" s="4" t="str" cm="1">
        <f t="array" ref="M52">_xlfn.IFS(Table1[[#This Row],[Sales_Amount]]&gt;200000,"High",AND(Table1[[#This Row],[Sales_Amount]]&gt;100000,Table1[[#This Row],[Sales_Amount]]&lt;200000),"Medium",Table1[[#This Row],[Sales_Amount]]&lt;100000,"Low")</f>
        <v>Medium</v>
      </c>
      <c r="N52" t="str">
        <f>TEXT(Table1[[#This Row],[Order_Date]],"MMMM")</f>
        <v>August</v>
      </c>
      <c r="O52">
        <f>YEAR(Table1[[#This Row],[Order_Date]])</f>
        <v>2025</v>
      </c>
    </row>
    <row r="53" spans="1:15" x14ac:dyDescent="0.3">
      <c r="A53" t="s">
        <v>84</v>
      </c>
      <c r="B53" s="1">
        <v>45872</v>
      </c>
      <c r="C53" t="s">
        <v>40</v>
      </c>
      <c r="D53" t="s">
        <v>18</v>
      </c>
      <c r="E53" t="s">
        <v>32</v>
      </c>
      <c r="F53" s="3">
        <v>3</v>
      </c>
      <c r="G53" s="4">
        <v>38549</v>
      </c>
      <c r="H53" s="4">
        <v>115647</v>
      </c>
      <c r="I53" s="4">
        <v>102782.46</v>
      </c>
      <c r="J53" s="4">
        <v>12864.54</v>
      </c>
      <c r="K53" t="s">
        <v>15</v>
      </c>
      <c r="L53" s="3">
        <f>(Table1[[#This Row],[Profit]]/Table1[[#This Row],[Sales_Amount]])*100</f>
        <v>11.123972087473087</v>
      </c>
      <c r="M53" s="4" t="str" cm="1">
        <f t="array" ref="M53">_xlfn.IFS(Table1[[#This Row],[Sales_Amount]]&gt;200000,"High",AND(Table1[[#This Row],[Sales_Amount]]&gt;100000,Table1[[#This Row],[Sales_Amount]]&lt;200000),"Medium",Table1[[#This Row],[Sales_Amount]]&lt;100000,"Low")</f>
        <v>Medium</v>
      </c>
      <c r="N53" t="str">
        <f>TEXT(Table1[[#This Row],[Order_Date]],"MMMM")</f>
        <v>August</v>
      </c>
      <c r="O53">
        <f>YEAR(Table1[[#This Row],[Order_Date]])</f>
        <v>2025</v>
      </c>
    </row>
    <row r="54" spans="1:15" x14ac:dyDescent="0.3">
      <c r="A54" t="s">
        <v>85</v>
      </c>
      <c r="B54" s="1">
        <v>45873</v>
      </c>
      <c r="C54" t="s">
        <v>28</v>
      </c>
      <c r="D54" t="s">
        <v>29</v>
      </c>
      <c r="E54" t="s">
        <v>37</v>
      </c>
      <c r="F54" s="3">
        <v>6</v>
      </c>
      <c r="G54" s="4">
        <v>48245</v>
      </c>
      <c r="H54" s="4">
        <v>289470</v>
      </c>
      <c r="I54" s="4">
        <v>241976.21</v>
      </c>
      <c r="J54" s="4">
        <v>47493.79</v>
      </c>
      <c r="K54" t="s">
        <v>58</v>
      </c>
      <c r="L54" s="3">
        <f>(Table1[[#This Row],[Profit]]/Table1[[#This Row],[Sales_Amount]])*100</f>
        <v>16.40715445469306</v>
      </c>
      <c r="M54" s="4" t="str" cm="1">
        <f t="array" ref="M54">_xlfn.IFS(Table1[[#This Row],[Sales_Amount]]&gt;200000,"High",AND(Table1[[#This Row],[Sales_Amount]]&gt;100000,Table1[[#This Row],[Sales_Amount]]&lt;200000),"Medium",Table1[[#This Row],[Sales_Amount]]&lt;100000,"Low")</f>
        <v>High</v>
      </c>
      <c r="N54" t="str">
        <f>TEXT(Table1[[#This Row],[Order_Date]],"MMMM")</f>
        <v>August</v>
      </c>
      <c r="O54">
        <f>YEAR(Table1[[#This Row],[Order_Date]])</f>
        <v>2025</v>
      </c>
    </row>
    <row r="55" spans="1:15" x14ac:dyDescent="0.3">
      <c r="A55" t="s">
        <v>86</v>
      </c>
      <c r="B55" s="1">
        <v>45874</v>
      </c>
      <c r="C55" t="s">
        <v>17</v>
      </c>
      <c r="D55" t="s">
        <v>51</v>
      </c>
      <c r="E55" t="s">
        <v>22</v>
      </c>
      <c r="F55" s="3">
        <v>5</v>
      </c>
      <c r="G55" s="4">
        <v>3408</v>
      </c>
      <c r="H55" s="4">
        <v>17040</v>
      </c>
      <c r="I55" s="4">
        <v>13847.31</v>
      </c>
      <c r="J55" s="4">
        <v>3192.69</v>
      </c>
      <c r="K55" t="s">
        <v>26</v>
      </c>
      <c r="L55" s="3">
        <f>(Table1[[#This Row],[Profit]]/Table1[[#This Row],[Sales_Amount]])*100</f>
        <v>18.73644366197183</v>
      </c>
      <c r="M55" s="4" t="str" cm="1">
        <f t="array" ref="M55">_xlfn.IFS(Table1[[#This Row],[Sales_Amount]]&gt;200000,"High",AND(Table1[[#This Row],[Sales_Amount]]&gt;100000,Table1[[#This Row],[Sales_Amount]]&lt;200000),"Medium",Table1[[#This Row],[Sales_Amount]]&lt;100000,"Low")</f>
        <v>Low</v>
      </c>
      <c r="N55" t="str">
        <f>TEXT(Table1[[#This Row],[Order_Date]],"MMMM")</f>
        <v>August</v>
      </c>
      <c r="O55">
        <f>YEAR(Table1[[#This Row],[Order_Date]])</f>
        <v>2025</v>
      </c>
    </row>
    <row r="56" spans="1:15" x14ac:dyDescent="0.3">
      <c r="A56" t="s">
        <v>87</v>
      </c>
      <c r="B56" s="1">
        <v>45875</v>
      </c>
      <c r="C56" t="s">
        <v>17</v>
      </c>
      <c r="D56" t="s">
        <v>44</v>
      </c>
      <c r="E56" t="s">
        <v>14</v>
      </c>
      <c r="F56" s="3">
        <v>6</v>
      </c>
      <c r="G56" s="4">
        <v>41339</v>
      </c>
      <c r="H56" s="4">
        <v>248034</v>
      </c>
      <c r="I56" s="4">
        <v>172178.93</v>
      </c>
      <c r="J56" s="4">
        <v>75855.070000000007</v>
      </c>
      <c r="K56" t="s">
        <v>26</v>
      </c>
      <c r="L56" s="3">
        <f>(Table1[[#This Row],[Profit]]/Table1[[#This Row],[Sales_Amount]])*100</f>
        <v>30.582529008119856</v>
      </c>
      <c r="M56" s="4" t="str" cm="1">
        <f t="array" ref="M56">_xlfn.IFS(Table1[[#This Row],[Sales_Amount]]&gt;200000,"High",AND(Table1[[#This Row],[Sales_Amount]]&gt;100000,Table1[[#This Row],[Sales_Amount]]&lt;200000),"Medium",Table1[[#This Row],[Sales_Amount]]&lt;100000,"Low")</f>
        <v>High</v>
      </c>
      <c r="N56" t="str">
        <f>TEXT(Table1[[#This Row],[Order_Date]],"MMMM")</f>
        <v>August</v>
      </c>
      <c r="O56">
        <f>YEAR(Table1[[#This Row],[Order_Date]])</f>
        <v>2025</v>
      </c>
    </row>
    <row r="57" spans="1:15" x14ac:dyDescent="0.3">
      <c r="A57" t="s">
        <v>88</v>
      </c>
      <c r="B57" s="1">
        <v>45876</v>
      </c>
      <c r="C57" t="s">
        <v>12</v>
      </c>
      <c r="D57" t="s">
        <v>51</v>
      </c>
      <c r="E57" t="s">
        <v>37</v>
      </c>
      <c r="F57" s="3">
        <v>6</v>
      </c>
      <c r="G57" s="4">
        <v>26871</v>
      </c>
      <c r="H57" s="4">
        <v>161226</v>
      </c>
      <c r="I57" s="4">
        <v>130458.04</v>
      </c>
      <c r="J57" s="4">
        <v>30767.96</v>
      </c>
      <c r="K57" t="s">
        <v>58</v>
      </c>
      <c r="L57" s="3">
        <f>(Table1[[#This Row],[Profit]]/Table1[[#This Row],[Sales_Amount]])*100</f>
        <v>19.083745797824172</v>
      </c>
      <c r="M57" s="4" t="str" cm="1">
        <f t="array" ref="M57">_xlfn.IFS(Table1[[#This Row],[Sales_Amount]]&gt;200000,"High",AND(Table1[[#This Row],[Sales_Amount]]&gt;100000,Table1[[#This Row],[Sales_Amount]]&lt;200000),"Medium",Table1[[#This Row],[Sales_Amount]]&lt;100000,"Low")</f>
        <v>Medium</v>
      </c>
      <c r="N57" t="str">
        <f>TEXT(Table1[[#This Row],[Order_Date]],"MMMM")</f>
        <v>August</v>
      </c>
      <c r="O57">
        <f>YEAR(Table1[[#This Row],[Order_Date]])</f>
        <v>2025</v>
      </c>
    </row>
    <row r="58" spans="1:15" x14ac:dyDescent="0.3">
      <c r="A58" t="s">
        <v>89</v>
      </c>
      <c r="B58" s="1">
        <v>45877</v>
      </c>
      <c r="C58" t="s">
        <v>28</v>
      </c>
      <c r="D58" t="s">
        <v>18</v>
      </c>
      <c r="E58" t="s">
        <v>37</v>
      </c>
      <c r="F58" s="3">
        <v>3</v>
      </c>
      <c r="G58" s="4">
        <v>40838</v>
      </c>
      <c r="H58" s="4">
        <v>122514</v>
      </c>
      <c r="I58" s="4">
        <v>94425.41</v>
      </c>
      <c r="J58" s="4">
        <v>28088.59</v>
      </c>
      <c r="K58" t="s">
        <v>26</v>
      </c>
      <c r="L58" s="3">
        <f>(Table1[[#This Row],[Profit]]/Table1[[#This Row],[Sales_Amount]])*100</f>
        <v>22.926841014088186</v>
      </c>
      <c r="M58" s="4" t="str" cm="1">
        <f t="array" ref="M58">_xlfn.IFS(Table1[[#This Row],[Sales_Amount]]&gt;200000,"High",AND(Table1[[#This Row],[Sales_Amount]]&gt;100000,Table1[[#This Row],[Sales_Amount]]&lt;200000),"Medium",Table1[[#This Row],[Sales_Amount]]&lt;100000,"Low")</f>
        <v>Medium</v>
      </c>
      <c r="N58" t="str">
        <f>TEXT(Table1[[#This Row],[Order_Date]],"MMMM")</f>
        <v>August</v>
      </c>
      <c r="O58">
        <f>YEAR(Table1[[#This Row],[Order_Date]])</f>
        <v>2025</v>
      </c>
    </row>
    <row r="59" spans="1:15" x14ac:dyDescent="0.3">
      <c r="A59" t="s">
        <v>90</v>
      </c>
      <c r="B59" s="1">
        <v>45878</v>
      </c>
      <c r="C59" t="s">
        <v>40</v>
      </c>
      <c r="D59" t="s">
        <v>56</v>
      </c>
      <c r="E59" t="s">
        <v>22</v>
      </c>
      <c r="F59" s="3">
        <v>7</v>
      </c>
      <c r="G59" s="4">
        <v>38509</v>
      </c>
      <c r="H59" s="4">
        <v>269563</v>
      </c>
      <c r="I59" s="4">
        <v>210797.85</v>
      </c>
      <c r="J59" s="4">
        <v>58765.15</v>
      </c>
      <c r="K59" t="s">
        <v>58</v>
      </c>
      <c r="L59" s="3">
        <f>(Table1[[#This Row],[Profit]]/Table1[[#This Row],[Sales_Amount]])*100</f>
        <v>21.800154323850084</v>
      </c>
      <c r="M59" s="4" t="str" cm="1">
        <f t="array" ref="M59">_xlfn.IFS(Table1[[#This Row],[Sales_Amount]]&gt;200000,"High",AND(Table1[[#This Row],[Sales_Amount]]&gt;100000,Table1[[#This Row],[Sales_Amount]]&lt;200000),"Medium",Table1[[#This Row],[Sales_Amount]]&lt;100000,"Low")</f>
        <v>High</v>
      </c>
      <c r="N59" t="str">
        <f>TEXT(Table1[[#This Row],[Order_Date]],"MMMM")</f>
        <v>August</v>
      </c>
      <c r="O59">
        <f>YEAR(Table1[[#This Row],[Order_Date]])</f>
        <v>2025</v>
      </c>
    </row>
    <row r="60" spans="1:15" x14ac:dyDescent="0.3">
      <c r="A60" t="s">
        <v>91</v>
      </c>
      <c r="B60" s="1">
        <v>45879</v>
      </c>
      <c r="C60" t="s">
        <v>12</v>
      </c>
      <c r="D60" t="s">
        <v>29</v>
      </c>
      <c r="E60" t="s">
        <v>19</v>
      </c>
      <c r="F60" s="3">
        <v>4</v>
      </c>
      <c r="G60" s="4">
        <v>34000</v>
      </c>
      <c r="H60" s="4">
        <v>136000</v>
      </c>
      <c r="I60" s="4">
        <v>100906</v>
      </c>
      <c r="J60" s="4">
        <v>35094</v>
      </c>
      <c r="K60" t="s">
        <v>26</v>
      </c>
      <c r="L60" s="3">
        <f>(Table1[[#This Row],[Profit]]/Table1[[#This Row],[Sales_Amount]])*100</f>
        <v>25.804411764705883</v>
      </c>
      <c r="M60" s="4" t="str" cm="1">
        <f t="array" ref="M60">_xlfn.IFS(Table1[[#This Row],[Sales_Amount]]&gt;200000,"High",AND(Table1[[#This Row],[Sales_Amount]]&gt;100000,Table1[[#This Row],[Sales_Amount]]&lt;200000),"Medium",Table1[[#This Row],[Sales_Amount]]&lt;100000,"Low")</f>
        <v>Medium</v>
      </c>
      <c r="N60" t="str">
        <f>TEXT(Table1[[#This Row],[Order_Date]],"MMMM")</f>
        <v>August</v>
      </c>
      <c r="O60">
        <f>YEAR(Table1[[#This Row],[Order_Date]])</f>
        <v>2025</v>
      </c>
    </row>
    <row r="61" spans="1:15" x14ac:dyDescent="0.3">
      <c r="A61" t="s">
        <v>92</v>
      </c>
      <c r="B61" s="1">
        <v>45880</v>
      </c>
      <c r="C61" t="s">
        <v>12</v>
      </c>
      <c r="D61" t="s">
        <v>44</v>
      </c>
      <c r="E61" t="s">
        <v>19</v>
      </c>
      <c r="F61" s="3">
        <v>10</v>
      </c>
      <c r="G61" s="4">
        <v>22466</v>
      </c>
      <c r="H61" s="4">
        <v>224660</v>
      </c>
      <c r="I61" s="4">
        <v>141090.10999999999</v>
      </c>
      <c r="J61" s="4">
        <v>83569.89</v>
      </c>
      <c r="K61" t="s">
        <v>23</v>
      </c>
      <c r="L61" s="3">
        <f>(Table1[[#This Row],[Profit]]/Table1[[#This Row],[Sales_Amount]])*100</f>
        <v>37.198384225051193</v>
      </c>
      <c r="M61" s="4" t="str" cm="1">
        <f t="array" ref="M61">_xlfn.IFS(Table1[[#This Row],[Sales_Amount]]&gt;200000,"High",AND(Table1[[#This Row],[Sales_Amount]]&gt;100000,Table1[[#This Row],[Sales_Amount]]&lt;200000),"Medium",Table1[[#This Row],[Sales_Amount]]&lt;100000,"Low")</f>
        <v>High</v>
      </c>
      <c r="N61" t="str">
        <f>TEXT(Table1[[#This Row],[Order_Date]],"MMMM")</f>
        <v>August</v>
      </c>
      <c r="O61">
        <f>YEAR(Table1[[#This Row],[Order_Date]])</f>
        <v>2025</v>
      </c>
    </row>
    <row r="62" spans="1:15" x14ac:dyDescent="0.3">
      <c r="A62" t="s">
        <v>93</v>
      </c>
      <c r="B62" s="1">
        <v>45881</v>
      </c>
      <c r="C62" t="s">
        <v>28</v>
      </c>
      <c r="D62" t="s">
        <v>29</v>
      </c>
      <c r="E62" t="s">
        <v>22</v>
      </c>
      <c r="F62" s="3">
        <v>1</v>
      </c>
      <c r="G62" s="4">
        <v>3528</v>
      </c>
      <c r="H62" s="4">
        <v>3528</v>
      </c>
      <c r="I62" s="4">
        <v>2375.94</v>
      </c>
      <c r="J62" s="4">
        <v>1152.06</v>
      </c>
      <c r="K62" t="s">
        <v>58</v>
      </c>
      <c r="L62" s="3">
        <f>(Table1[[#This Row],[Profit]]/Table1[[#This Row],[Sales_Amount]])*100</f>
        <v>32.654761904761905</v>
      </c>
      <c r="M62" s="4" t="str" cm="1">
        <f t="array" ref="M62">_xlfn.IFS(Table1[[#This Row],[Sales_Amount]]&gt;200000,"High",AND(Table1[[#This Row],[Sales_Amount]]&gt;100000,Table1[[#This Row],[Sales_Amount]]&lt;200000),"Medium",Table1[[#This Row],[Sales_Amount]]&lt;100000,"Low")</f>
        <v>Low</v>
      </c>
      <c r="N62" t="str">
        <f>TEXT(Table1[[#This Row],[Order_Date]],"MMMM")</f>
        <v>August</v>
      </c>
      <c r="O62">
        <f>YEAR(Table1[[#This Row],[Order_Date]])</f>
        <v>2025</v>
      </c>
    </row>
    <row r="63" spans="1:15" x14ac:dyDescent="0.3">
      <c r="A63" t="s">
        <v>94</v>
      </c>
      <c r="B63" s="1">
        <v>45882</v>
      </c>
      <c r="C63" t="s">
        <v>28</v>
      </c>
      <c r="D63" t="s">
        <v>56</v>
      </c>
      <c r="E63" t="s">
        <v>19</v>
      </c>
      <c r="F63" s="3">
        <v>10</v>
      </c>
      <c r="G63" s="4">
        <v>13242</v>
      </c>
      <c r="H63" s="4">
        <v>132420</v>
      </c>
      <c r="I63" s="4">
        <v>107989.01</v>
      </c>
      <c r="J63" s="4">
        <v>24430.99</v>
      </c>
      <c r="K63" t="s">
        <v>58</v>
      </c>
      <c r="L63" s="3">
        <f>(Table1[[#This Row],[Profit]]/Table1[[#This Row],[Sales_Amount]])*100</f>
        <v>18.449622413532701</v>
      </c>
      <c r="M63" s="4" t="str" cm="1">
        <f t="array" ref="M63">_xlfn.IFS(Table1[[#This Row],[Sales_Amount]]&gt;200000,"High",AND(Table1[[#This Row],[Sales_Amount]]&gt;100000,Table1[[#This Row],[Sales_Amount]]&lt;200000),"Medium",Table1[[#This Row],[Sales_Amount]]&lt;100000,"Low")</f>
        <v>Medium</v>
      </c>
      <c r="N63" t="str">
        <f>TEXT(Table1[[#This Row],[Order_Date]],"MMMM")</f>
        <v>August</v>
      </c>
      <c r="O63">
        <f>YEAR(Table1[[#This Row],[Order_Date]])</f>
        <v>2025</v>
      </c>
    </row>
    <row r="64" spans="1:15" x14ac:dyDescent="0.3">
      <c r="A64" t="s">
        <v>95</v>
      </c>
      <c r="B64" s="1">
        <v>45883</v>
      </c>
      <c r="C64" t="s">
        <v>17</v>
      </c>
      <c r="D64" t="s">
        <v>21</v>
      </c>
      <c r="E64" t="s">
        <v>22</v>
      </c>
      <c r="F64" s="3">
        <v>1</v>
      </c>
      <c r="G64" s="4">
        <v>49715</v>
      </c>
      <c r="H64" s="4">
        <v>49715</v>
      </c>
      <c r="I64" s="4">
        <v>42662.04</v>
      </c>
      <c r="J64" s="4">
        <v>7052.96</v>
      </c>
      <c r="K64" t="s">
        <v>23</v>
      </c>
      <c r="L64" s="3">
        <f>(Table1[[#This Row],[Profit]]/Table1[[#This Row],[Sales_Amount]])*100</f>
        <v>14.186784672634015</v>
      </c>
      <c r="M64" s="4" t="str" cm="1">
        <f t="array" ref="M64">_xlfn.IFS(Table1[[#This Row],[Sales_Amount]]&gt;200000,"High",AND(Table1[[#This Row],[Sales_Amount]]&gt;100000,Table1[[#This Row],[Sales_Amount]]&lt;200000),"Medium",Table1[[#This Row],[Sales_Amount]]&lt;100000,"Low")</f>
        <v>Low</v>
      </c>
      <c r="N64" t="str">
        <f>TEXT(Table1[[#This Row],[Order_Date]],"MMMM")</f>
        <v>August</v>
      </c>
      <c r="O64">
        <f>YEAR(Table1[[#This Row],[Order_Date]])</f>
        <v>2025</v>
      </c>
    </row>
    <row r="65" spans="1:15" x14ac:dyDescent="0.3">
      <c r="A65" t="s">
        <v>96</v>
      </c>
      <c r="B65" s="1">
        <v>45884</v>
      </c>
      <c r="C65" t="s">
        <v>12</v>
      </c>
      <c r="D65" t="s">
        <v>29</v>
      </c>
      <c r="E65" t="s">
        <v>19</v>
      </c>
      <c r="F65" s="3">
        <v>9</v>
      </c>
      <c r="G65" s="4">
        <v>30944</v>
      </c>
      <c r="H65" s="4">
        <v>278496</v>
      </c>
      <c r="I65" s="4">
        <v>171293.29</v>
      </c>
      <c r="J65" s="4">
        <v>107202.71</v>
      </c>
      <c r="K65" t="s">
        <v>58</v>
      </c>
      <c r="L65" s="3">
        <f>(Table1[[#This Row],[Profit]]/Table1[[#This Row],[Sales_Amount]])*100</f>
        <v>38.493446943582676</v>
      </c>
      <c r="M65" s="4" t="str" cm="1">
        <f t="array" ref="M65">_xlfn.IFS(Table1[[#This Row],[Sales_Amount]]&gt;200000,"High",AND(Table1[[#This Row],[Sales_Amount]]&gt;100000,Table1[[#This Row],[Sales_Amount]]&lt;200000),"Medium",Table1[[#This Row],[Sales_Amount]]&lt;100000,"Low")</f>
        <v>High</v>
      </c>
      <c r="N65" t="str">
        <f>TEXT(Table1[[#This Row],[Order_Date]],"MMMM")</f>
        <v>August</v>
      </c>
      <c r="O65">
        <f>YEAR(Table1[[#This Row],[Order_Date]])</f>
        <v>2025</v>
      </c>
    </row>
    <row r="66" spans="1:15" x14ac:dyDescent="0.3">
      <c r="A66" t="s">
        <v>97</v>
      </c>
      <c r="B66" s="1">
        <v>45885</v>
      </c>
      <c r="C66" t="s">
        <v>28</v>
      </c>
      <c r="D66" t="s">
        <v>21</v>
      </c>
      <c r="E66" t="s">
        <v>37</v>
      </c>
      <c r="F66" s="3">
        <v>9</v>
      </c>
      <c r="G66" s="4">
        <v>37129</v>
      </c>
      <c r="H66" s="4">
        <v>334161</v>
      </c>
      <c r="I66" s="4">
        <v>260189.68</v>
      </c>
      <c r="J66" s="4">
        <v>73971.320000000007</v>
      </c>
      <c r="K66" t="s">
        <v>58</v>
      </c>
      <c r="L66" s="3">
        <f>(Table1[[#This Row],[Profit]]/Table1[[#This Row],[Sales_Amount]])*100</f>
        <v>22.136431241228031</v>
      </c>
      <c r="M66" s="4" t="str" cm="1">
        <f t="array" ref="M66">_xlfn.IFS(Table1[[#This Row],[Sales_Amount]]&gt;200000,"High",AND(Table1[[#This Row],[Sales_Amount]]&gt;100000,Table1[[#This Row],[Sales_Amount]]&lt;200000),"Medium",Table1[[#This Row],[Sales_Amount]]&lt;100000,"Low")</f>
        <v>High</v>
      </c>
      <c r="N66" t="str">
        <f>TEXT(Table1[[#This Row],[Order_Date]],"MMMM")</f>
        <v>August</v>
      </c>
      <c r="O66">
        <f>YEAR(Table1[[#This Row],[Order_Date]])</f>
        <v>2025</v>
      </c>
    </row>
    <row r="67" spans="1:15" x14ac:dyDescent="0.3">
      <c r="A67" t="s">
        <v>98</v>
      </c>
      <c r="B67" s="1">
        <v>45886</v>
      </c>
      <c r="C67" t="s">
        <v>12</v>
      </c>
      <c r="D67" t="s">
        <v>44</v>
      </c>
      <c r="E67" t="s">
        <v>19</v>
      </c>
      <c r="F67" s="3">
        <v>8</v>
      </c>
      <c r="G67" s="4">
        <v>29995</v>
      </c>
      <c r="H67" s="4">
        <v>239960</v>
      </c>
      <c r="I67" s="4">
        <v>162634.68</v>
      </c>
      <c r="J67" s="4">
        <v>77325.320000000007</v>
      </c>
      <c r="K67" t="s">
        <v>58</v>
      </c>
      <c r="L67" s="3">
        <f>(Table1[[#This Row],[Profit]]/Table1[[#This Row],[Sales_Amount]])*100</f>
        <v>32.224254042340391</v>
      </c>
      <c r="M67" s="4" t="str" cm="1">
        <f t="array" ref="M67">_xlfn.IFS(Table1[[#This Row],[Sales_Amount]]&gt;200000,"High",AND(Table1[[#This Row],[Sales_Amount]]&gt;100000,Table1[[#This Row],[Sales_Amount]]&lt;200000),"Medium",Table1[[#This Row],[Sales_Amount]]&lt;100000,"Low")</f>
        <v>High</v>
      </c>
      <c r="N67" t="str">
        <f>TEXT(Table1[[#This Row],[Order_Date]],"MMMM")</f>
        <v>August</v>
      </c>
      <c r="O67">
        <f>YEAR(Table1[[#This Row],[Order_Date]])</f>
        <v>2025</v>
      </c>
    </row>
    <row r="68" spans="1:15" x14ac:dyDescent="0.3">
      <c r="A68" t="s">
        <v>99</v>
      </c>
      <c r="B68" s="1">
        <v>45887</v>
      </c>
      <c r="C68" t="s">
        <v>40</v>
      </c>
      <c r="D68" t="s">
        <v>51</v>
      </c>
      <c r="E68" t="s">
        <v>22</v>
      </c>
      <c r="F68" s="3">
        <v>5</v>
      </c>
      <c r="G68" s="4">
        <v>29327</v>
      </c>
      <c r="H68" s="4">
        <v>146635</v>
      </c>
      <c r="I68" s="4">
        <v>91389.53</v>
      </c>
      <c r="J68" s="4">
        <v>55245.47</v>
      </c>
      <c r="K68" t="s">
        <v>26</v>
      </c>
      <c r="L68" s="3">
        <f>(Table1[[#This Row],[Profit]]/Table1[[#This Row],[Sales_Amount]])*100</f>
        <v>37.675500392130118</v>
      </c>
      <c r="M68" s="4" t="str" cm="1">
        <f t="array" ref="M68">_xlfn.IFS(Table1[[#This Row],[Sales_Amount]]&gt;200000,"High",AND(Table1[[#This Row],[Sales_Amount]]&gt;100000,Table1[[#This Row],[Sales_Amount]]&lt;200000),"Medium",Table1[[#This Row],[Sales_Amount]]&lt;100000,"Low")</f>
        <v>Medium</v>
      </c>
      <c r="N68" t="str">
        <f>TEXT(Table1[[#This Row],[Order_Date]],"MMMM")</f>
        <v>August</v>
      </c>
      <c r="O68">
        <f>YEAR(Table1[[#This Row],[Order_Date]])</f>
        <v>2025</v>
      </c>
    </row>
    <row r="69" spans="1:15" x14ac:dyDescent="0.3">
      <c r="A69" t="s">
        <v>100</v>
      </c>
      <c r="B69" s="1">
        <v>45888</v>
      </c>
      <c r="C69" t="s">
        <v>12</v>
      </c>
      <c r="D69" t="s">
        <v>21</v>
      </c>
      <c r="E69" t="s">
        <v>32</v>
      </c>
      <c r="F69" s="3">
        <v>9</v>
      </c>
      <c r="G69" s="4">
        <v>5780</v>
      </c>
      <c r="H69" s="4">
        <v>52020</v>
      </c>
      <c r="I69" s="4">
        <v>33371.47</v>
      </c>
      <c r="J69" s="4">
        <v>18648.53</v>
      </c>
      <c r="K69" t="s">
        <v>23</v>
      </c>
      <c r="L69" s="3">
        <f>(Table1[[#This Row],[Profit]]/Table1[[#This Row],[Sales_Amount]])*100</f>
        <v>35.848769703960016</v>
      </c>
      <c r="M69" s="4" t="str" cm="1">
        <f t="array" ref="M69">_xlfn.IFS(Table1[[#This Row],[Sales_Amount]]&gt;200000,"High",AND(Table1[[#This Row],[Sales_Amount]]&gt;100000,Table1[[#This Row],[Sales_Amount]]&lt;200000),"Medium",Table1[[#This Row],[Sales_Amount]]&lt;100000,"Low")</f>
        <v>Low</v>
      </c>
      <c r="N69" t="str">
        <f>TEXT(Table1[[#This Row],[Order_Date]],"MMMM")</f>
        <v>August</v>
      </c>
      <c r="O69">
        <f>YEAR(Table1[[#This Row],[Order_Date]])</f>
        <v>2025</v>
      </c>
    </row>
    <row r="70" spans="1:15" x14ac:dyDescent="0.3">
      <c r="A70" t="s">
        <v>101</v>
      </c>
      <c r="B70" s="1">
        <v>45889</v>
      </c>
      <c r="C70" t="s">
        <v>28</v>
      </c>
      <c r="D70" t="s">
        <v>21</v>
      </c>
      <c r="E70" t="s">
        <v>22</v>
      </c>
      <c r="F70" s="3">
        <v>2</v>
      </c>
      <c r="G70" s="4">
        <v>27688</v>
      </c>
      <c r="H70" s="4">
        <v>55376</v>
      </c>
      <c r="I70" s="4">
        <v>39996.97</v>
      </c>
      <c r="J70" s="4">
        <v>15379.03</v>
      </c>
      <c r="K70" t="s">
        <v>15</v>
      </c>
      <c r="L70" s="3">
        <f>(Table1[[#This Row],[Profit]]/Table1[[#This Row],[Sales_Amount]])*100</f>
        <v>27.772013146489456</v>
      </c>
      <c r="M70" s="4" t="str" cm="1">
        <f t="array" ref="M70">_xlfn.IFS(Table1[[#This Row],[Sales_Amount]]&gt;200000,"High",AND(Table1[[#This Row],[Sales_Amount]]&gt;100000,Table1[[#This Row],[Sales_Amount]]&lt;200000),"Medium",Table1[[#This Row],[Sales_Amount]]&lt;100000,"Low")</f>
        <v>Low</v>
      </c>
      <c r="N70" t="str">
        <f>TEXT(Table1[[#This Row],[Order_Date]],"MMMM")</f>
        <v>August</v>
      </c>
      <c r="O70">
        <f>YEAR(Table1[[#This Row],[Order_Date]])</f>
        <v>2025</v>
      </c>
    </row>
    <row r="71" spans="1:15" x14ac:dyDescent="0.3">
      <c r="A71" t="s">
        <v>102</v>
      </c>
      <c r="B71" s="1">
        <v>45890</v>
      </c>
      <c r="C71" t="s">
        <v>17</v>
      </c>
      <c r="D71" t="s">
        <v>21</v>
      </c>
      <c r="E71" t="s">
        <v>37</v>
      </c>
      <c r="F71" s="3">
        <v>7</v>
      </c>
      <c r="G71" s="4">
        <v>38778</v>
      </c>
      <c r="H71" s="4">
        <v>271446</v>
      </c>
      <c r="I71" s="4">
        <v>239909.03</v>
      </c>
      <c r="J71" s="4">
        <v>31536.97</v>
      </c>
      <c r="K71" t="s">
        <v>58</v>
      </c>
      <c r="L71" s="3">
        <f>(Table1[[#This Row],[Profit]]/Table1[[#This Row],[Sales_Amount]])*100</f>
        <v>11.618137677475447</v>
      </c>
      <c r="M71" s="4" t="str" cm="1">
        <f t="array" ref="M71">_xlfn.IFS(Table1[[#This Row],[Sales_Amount]]&gt;200000,"High",AND(Table1[[#This Row],[Sales_Amount]]&gt;100000,Table1[[#This Row],[Sales_Amount]]&lt;200000),"Medium",Table1[[#This Row],[Sales_Amount]]&lt;100000,"Low")</f>
        <v>High</v>
      </c>
      <c r="N71" t="str">
        <f>TEXT(Table1[[#This Row],[Order_Date]],"MMMM")</f>
        <v>August</v>
      </c>
      <c r="O71">
        <f>YEAR(Table1[[#This Row],[Order_Date]])</f>
        <v>2025</v>
      </c>
    </row>
    <row r="72" spans="1:15" x14ac:dyDescent="0.3">
      <c r="A72" t="s">
        <v>103</v>
      </c>
      <c r="B72" s="1">
        <v>45891</v>
      </c>
      <c r="C72" t="s">
        <v>28</v>
      </c>
      <c r="D72" t="s">
        <v>51</v>
      </c>
      <c r="E72" t="s">
        <v>32</v>
      </c>
      <c r="F72" s="3">
        <v>5</v>
      </c>
      <c r="G72" s="4">
        <v>49879</v>
      </c>
      <c r="H72" s="4">
        <v>249395</v>
      </c>
      <c r="I72" s="4">
        <v>178815.22</v>
      </c>
      <c r="J72" s="4">
        <v>70579.78</v>
      </c>
      <c r="K72" t="s">
        <v>58</v>
      </c>
      <c r="L72" s="3">
        <f>(Table1[[#This Row],[Profit]]/Table1[[#This Row],[Sales_Amount]])*100</f>
        <v>28.300398965496505</v>
      </c>
      <c r="M72" s="4" t="str" cm="1">
        <f t="array" ref="M72">_xlfn.IFS(Table1[[#This Row],[Sales_Amount]]&gt;200000,"High",AND(Table1[[#This Row],[Sales_Amount]]&gt;100000,Table1[[#This Row],[Sales_Amount]]&lt;200000),"Medium",Table1[[#This Row],[Sales_Amount]]&lt;100000,"Low")</f>
        <v>High</v>
      </c>
      <c r="N72" t="str">
        <f>TEXT(Table1[[#This Row],[Order_Date]],"MMMM")</f>
        <v>August</v>
      </c>
      <c r="O72">
        <f>YEAR(Table1[[#This Row],[Order_Date]])</f>
        <v>2025</v>
      </c>
    </row>
    <row r="73" spans="1:15" x14ac:dyDescent="0.3">
      <c r="A73" t="s">
        <v>104</v>
      </c>
      <c r="B73" s="1">
        <v>45892</v>
      </c>
      <c r="C73" t="s">
        <v>40</v>
      </c>
      <c r="D73" t="s">
        <v>21</v>
      </c>
      <c r="E73" t="s">
        <v>32</v>
      </c>
      <c r="F73" s="3">
        <v>7</v>
      </c>
      <c r="G73" s="4">
        <v>32327</v>
      </c>
      <c r="H73" s="4">
        <v>226289</v>
      </c>
      <c r="I73" s="4">
        <v>137743.79999999999</v>
      </c>
      <c r="J73" s="4">
        <v>88545.2</v>
      </c>
      <c r="K73" t="s">
        <v>23</v>
      </c>
      <c r="L73" s="3">
        <f>(Table1[[#This Row],[Profit]]/Table1[[#This Row],[Sales_Amount]])*100</f>
        <v>39.129255067634752</v>
      </c>
      <c r="M73" s="4" t="str" cm="1">
        <f t="array" ref="M73">_xlfn.IFS(Table1[[#This Row],[Sales_Amount]]&gt;200000,"High",AND(Table1[[#This Row],[Sales_Amount]]&gt;100000,Table1[[#This Row],[Sales_Amount]]&lt;200000),"Medium",Table1[[#This Row],[Sales_Amount]]&lt;100000,"Low")</f>
        <v>High</v>
      </c>
      <c r="N73" t="str">
        <f>TEXT(Table1[[#This Row],[Order_Date]],"MMMM")</f>
        <v>August</v>
      </c>
      <c r="O73">
        <f>YEAR(Table1[[#This Row],[Order_Date]])</f>
        <v>2025</v>
      </c>
    </row>
    <row r="74" spans="1:15" x14ac:dyDescent="0.3">
      <c r="A74" t="s">
        <v>105</v>
      </c>
      <c r="B74" s="1">
        <v>45893</v>
      </c>
      <c r="C74" t="s">
        <v>28</v>
      </c>
      <c r="D74" t="s">
        <v>18</v>
      </c>
      <c r="E74" t="s">
        <v>22</v>
      </c>
      <c r="F74" s="3">
        <v>10</v>
      </c>
      <c r="G74" s="4">
        <v>35504</v>
      </c>
      <c r="H74" s="4">
        <v>355040</v>
      </c>
      <c r="I74" s="4">
        <v>215896.25</v>
      </c>
      <c r="J74" s="4">
        <v>139143.75</v>
      </c>
      <c r="K74" t="s">
        <v>15</v>
      </c>
      <c r="L74" s="3">
        <f>(Table1[[#This Row],[Profit]]/Table1[[#This Row],[Sales_Amount]])*100</f>
        <v>39.191006647138352</v>
      </c>
      <c r="M74" s="4" t="str" cm="1">
        <f t="array" ref="M74">_xlfn.IFS(Table1[[#This Row],[Sales_Amount]]&gt;200000,"High",AND(Table1[[#This Row],[Sales_Amount]]&gt;100000,Table1[[#This Row],[Sales_Amount]]&lt;200000),"Medium",Table1[[#This Row],[Sales_Amount]]&lt;100000,"Low")</f>
        <v>High</v>
      </c>
      <c r="N74" t="str">
        <f>TEXT(Table1[[#This Row],[Order_Date]],"MMMM")</f>
        <v>August</v>
      </c>
      <c r="O74">
        <f>YEAR(Table1[[#This Row],[Order_Date]])</f>
        <v>2025</v>
      </c>
    </row>
    <row r="75" spans="1:15" x14ac:dyDescent="0.3">
      <c r="A75" t="s">
        <v>106</v>
      </c>
      <c r="B75" s="1">
        <v>45894</v>
      </c>
      <c r="C75" t="s">
        <v>40</v>
      </c>
      <c r="D75" t="s">
        <v>21</v>
      </c>
      <c r="E75" t="s">
        <v>37</v>
      </c>
      <c r="F75" s="3">
        <v>3</v>
      </c>
      <c r="G75" s="4">
        <v>30757</v>
      </c>
      <c r="H75" s="4">
        <v>92271</v>
      </c>
      <c r="I75" s="4">
        <v>60393.1</v>
      </c>
      <c r="J75" s="4">
        <v>31877.9</v>
      </c>
      <c r="K75" t="s">
        <v>26</v>
      </c>
      <c r="L75" s="3">
        <f>(Table1[[#This Row],[Profit]]/Table1[[#This Row],[Sales_Amount]])*100</f>
        <v>34.548124546173767</v>
      </c>
      <c r="M75" s="4" t="str" cm="1">
        <f t="array" ref="M75">_xlfn.IFS(Table1[[#This Row],[Sales_Amount]]&gt;200000,"High",AND(Table1[[#This Row],[Sales_Amount]]&gt;100000,Table1[[#This Row],[Sales_Amount]]&lt;200000),"Medium",Table1[[#This Row],[Sales_Amount]]&lt;100000,"Low")</f>
        <v>Low</v>
      </c>
      <c r="N75" t="str">
        <f>TEXT(Table1[[#This Row],[Order_Date]],"MMMM")</f>
        <v>August</v>
      </c>
      <c r="O75">
        <f>YEAR(Table1[[#This Row],[Order_Date]])</f>
        <v>2025</v>
      </c>
    </row>
    <row r="76" spans="1:15" x14ac:dyDescent="0.3">
      <c r="A76" t="s">
        <v>107</v>
      </c>
      <c r="B76" s="1">
        <v>45895</v>
      </c>
      <c r="C76" t="s">
        <v>28</v>
      </c>
      <c r="D76" t="s">
        <v>44</v>
      </c>
      <c r="E76" t="s">
        <v>37</v>
      </c>
      <c r="F76" s="3">
        <v>6</v>
      </c>
      <c r="G76" s="4">
        <v>22618</v>
      </c>
      <c r="H76" s="4">
        <v>135708</v>
      </c>
      <c r="I76" s="4">
        <v>112416.29</v>
      </c>
      <c r="J76" s="4">
        <v>23291.71</v>
      </c>
      <c r="K76" t="s">
        <v>58</v>
      </c>
      <c r="L76" s="3">
        <f>(Table1[[#This Row],[Profit]]/Table1[[#This Row],[Sales_Amount]])*100</f>
        <v>17.163107554455152</v>
      </c>
      <c r="M76" s="4" t="str" cm="1">
        <f t="array" ref="M76">_xlfn.IFS(Table1[[#This Row],[Sales_Amount]]&gt;200000,"High",AND(Table1[[#This Row],[Sales_Amount]]&gt;100000,Table1[[#This Row],[Sales_Amount]]&lt;200000),"Medium",Table1[[#This Row],[Sales_Amount]]&lt;100000,"Low")</f>
        <v>Medium</v>
      </c>
      <c r="N76" t="str">
        <f>TEXT(Table1[[#This Row],[Order_Date]],"MMMM")</f>
        <v>August</v>
      </c>
      <c r="O76">
        <f>YEAR(Table1[[#This Row],[Order_Date]])</f>
        <v>2025</v>
      </c>
    </row>
    <row r="77" spans="1:15" x14ac:dyDescent="0.3">
      <c r="A77" t="s">
        <v>108</v>
      </c>
      <c r="B77" s="1">
        <v>45896</v>
      </c>
      <c r="C77" t="s">
        <v>17</v>
      </c>
      <c r="D77" t="s">
        <v>34</v>
      </c>
      <c r="E77" t="s">
        <v>14</v>
      </c>
      <c r="F77" s="3">
        <v>8</v>
      </c>
      <c r="G77" s="4">
        <v>1770</v>
      </c>
      <c r="H77" s="4">
        <v>14160</v>
      </c>
      <c r="I77" s="4">
        <v>11677.86</v>
      </c>
      <c r="J77" s="4">
        <v>2482.14</v>
      </c>
      <c r="K77" t="s">
        <v>23</v>
      </c>
      <c r="L77" s="3">
        <f>(Table1[[#This Row],[Profit]]/Table1[[#This Row],[Sales_Amount]])*100</f>
        <v>17.529237288135594</v>
      </c>
      <c r="M77" s="4" t="str" cm="1">
        <f t="array" ref="M77">_xlfn.IFS(Table1[[#This Row],[Sales_Amount]]&gt;200000,"High",AND(Table1[[#This Row],[Sales_Amount]]&gt;100000,Table1[[#This Row],[Sales_Amount]]&lt;200000),"Medium",Table1[[#This Row],[Sales_Amount]]&lt;100000,"Low")</f>
        <v>Low</v>
      </c>
      <c r="N77" t="str">
        <f>TEXT(Table1[[#This Row],[Order_Date]],"MMMM")</f>
        <v>August</v>
      </c>
      <c r="O77">
        <f>YEAR(Table1[[#This Row],[Order_Date]])</f>
        <v>2025</v>
      </c>
    </row>
    <row r="78" spans="1:15" x14ac:dyDescent="0.3">
      <c r="A78" t="s">
        <v>109</v>
      </c>
      <c r="B78" s="1">
        <v>45897</v>
      </c>
      <c r="C78" t="s">
        <v>12</v>
      </c>
      <c r="D78" t="s">
        <v>51</v>
      </c>
      <c r="E78" t="s">
        <v>14</v>
      </c>
      <c r="F78" s="3">
        <v>1</v>
      </c>
      <c r="G78" s="4">
        <v>49929</v>
      </c>
      <c r="H78" s="4">
        <v>49929</v>
      </c>
      <c r="I78" s="4">
        <v>30422.19</v>
      </c>
      <c r="J78" s="4">
        <v>19506.810000000001</v>
      </c>
      <c r="K78" t="s">
        <v>15</v>
      </c>
      <c r="L78" s="3">
        <f>(Table1[[#This Row],[Profit]]/Table1[[#This Row],[Sales_Amount]])*100</f>
        <v>39.069098119329446</v>
      </c>
      <c r="M78" s="4" t="str" cm="1">
        <f t="array" ref="M78">_xlfn.IFS(Table1[[#This Row],[Sales_Amount]]&gt;200000,"High",AND(Table1[[#This Row],[Sales_Amount]]&gt;100000,Table1[[#This Row],[Sales_Amount]]&lt;200000),"Medium",Table1[[#This Row],[Sales_Amount]]&lt;100000,"Low")</f>
        <v>Low</v>
      </c>
      <c r="N78" t="str">
        <f>TEXT(Table1[[#This Row],[Order_Date]],"MMMM")</f>
        <v>August</v>
      </c>
      <c r="O78">
        <f>YEAR(Table1[[#This Row],[Order_Date]])</f>
        <v>2025</v>
      </c>
    </row>
    <row r="79" spans="1:15" x14ac:dyDescent="0.3">
      <c r="A79" t="s">
        <v>110</v>
      </c>
      <c r="B79" s="1">
        <v>45898</v>
      </c>
      <c r="C79" t="s">
        <v>17</v>
      </c>
      <c r="D79" t="s">
        <v>51</v>
      </c>
      <c r="E79" t="s">
        <v>22</v>
      </c>
      <c r="F79" s="3">
        <v>4</v>
      </c>
      <c r="G79" s="4">
        <v>8772</v>
      </c>
      <c r="H79" s="4">
        <v>35088</v>
      </c>
      <c r="I79" s="4">
        <v>26037.69</v>
      </c>
      <c r="J79" s="4">
        <v>9050.31</v>
      </c>
      <c r="K79" t="s">
        <v>58</v>
      </c>
      <c r="L79" s="3">
        <f>(Table1[[#This Row],[Profit]]/Table1[[#This Row],[Sales_Amount]])*100</f>
        <v>25.793177154582764</v>
      </c>
      <c r="M79" s="4" t="str" cm="1">
        <f t="array" ref="M79">_xlfn.IFS(Table1[[#This Row],[Sales_Amount]]&gt;200000,"High",AND(Table1[[#This Row],[Sales_Amount]]&gt;100000,Table1[[#This Row],[Sales_Amount]]&lt;200000),"Medium",Table1[[#This Row],[Sales_Amount]]&lt;100000,"Low")</f>
        <v>Low</v>
      </c>
      <c r="N79" t="str">
        <f>TEXT(Table1[[#This Row],[Order_Date]],"MMMM")</f>
        <v>August</v>
      </c>
      <c r="O79">
        <f>YEAR(Table1[[#This Row],[Order_Date]])</f>
        <v>2025</v>
      </c>
    </row>
    <row r="80" spans="1:15" x14ac:dyDescent="0.3">
      <c r="A80" t="s">
        <v>111</v>
      </c>
      <c r="B80" s="1">
        <v>45899</v>
      </c>
      <c r="C80" t="s">
        <v>17</v>
      </c>
      <c r="D80" t="s">
        <v>13</v>
      </c>
      <c r="E80" t="s">
        <v>32</v>
      </c>
      <c r="F80" s="3">
        <v>6</v>
      </c>
      <c r="G80" s="4">
        <v>11496</v>
      </c>
      <c r="H80" s="4">
        <v>68976</v>
      </c>
      <c r="I80" s="4">
        <v>53923.22</v>
      </c>
      <c r="J80" s="4">
        <v>15052.78</v>
      </c>
      <c r="K80" t="s">
        <v>26</v>
      </c>
      <c r="L80" s="3">
        <f>(Table1[[#This Row],[Profit]]/Table1[[#This Row],[Sales_Amount]])*100</f>
        <v>21.823213871491536</v>
      </c>
      <c r="M80" s="4" t="str" cm="1">
        <f t="array" ref="M80">_xlfn.IFS(Table1[[#This Row],[Sales_Amount]]&gt;200000,"High",AND(Table1[[#This Row],[Sales_Amount]]&gt;100000,Table1[[#This Row],[Sales_Amount]]&lt;200000),"Medium",Table1[[#This Row],[Sales_Amount]]&lt;100000,"Low")</f>
        <v>Low</v>
      </c>
      <c r="N80" t="str">
        <f>TEXT(Table1[[#This Row],[Order_Date]],"MMMM")</f>
        <v>August</v>
      </c>
      <c r="O80">
        <f>YEAR(Table1[[#This Row],[Order_Date]])</f>
        <v>2025</v>
      </c>
    </row>
    <row r="81" spans="1:15" x14ac:dyDescent="0.3">
      <c r="A81" t="s">
        <v>112</v>
      </c>
      <c r="B81" s="1">
        <v>45900</v>
      </c>
      <c r="C81" t="s">
        <v>28</v>
      </c>
      <c r="D81" t="s">
        <v>21</v>
      </c>
      <c r="E81" t="s">
        <v>25</v>
      </c>
      <c r="F81" s="3">
        <v>1</v>
      </c>
      <c r="G81" s="4">
        <v>20944</v>
      </c>
      <c r="H81" s="4">
        <v>20944</v>
      </c>
      <c r="I81" s="4">
        <v>16184.25</v>
      </c>
      <c r="J81" s="4">
        <v>4759.75</v>
      </c>
      <c r="K81" t="s">
        <v>23</v>
      </c>
      <c r="L81" s="3">
        <f>(Table1[[#This Row],[Profit]]/Table1[[#This Row],[Sales_Amount]])*100</f>
        <v>22.726079067990831</v>
      </c>
      <c r="M81" s="4" t="str" cm="1">
        <f t="array" ref="M81">_xlfn.IFS(Table1[[#This Row],[Sales_Amount]]&gt;200000,"High",AND(Table1[[#This Row],[Sales_Amount]]&gt;100000,Table1[[#This Row],[Sales_Amount]]&lt;200000),"Medium",Table1[[#This Row],[Sales_Amount]]&lt;100000,"Low")</f>
        <v>Low</v>
      </c>
      <c r="N81" t="str">
        <f>TEXT(Table1[[#This Row],[Order_Date]],"MMMM")</f>
        <v>August</v>
      </c>
      <c r="O81">
        <f>YEAR(Table1[[#This Row],[Order_Date]])</f>
        <v>2025</v>
      </c>
    </row>
    <row r="82" spans="1:15" x14ac:dyDescent="0.3">
      <c r="A82" t="s">
        <v>113</v>
      </c>
      <c r="B82" s="1">
        <v>45901</v>
      </c>
      <c r="C82" t="s">
        <v>40</v>
      </c>
      <c r="D82" t="s">
        <v>29</v>
      </c>
      <c r="E82" t="s">
        <v>25</v>
      </c>
      <c r="F82" s="3">
        <v>4</v>
      </c>
      <c r="G82" s="4">
        <v>7178</v>
      </c>
      <c r="H82" s="4">
        <v>28712</v>
      </c>
      <c r="I82" s="4">
        <v>23232.54</v>
      </c>
      <c r="J82" s="4">
        <v>5479.46</v>
      </c>
      <c r="K82" t="s">
        <v>15</v>
      </c>
      <c r="L82" s="3">
        <f>(Table1[[#This Row],[Profit]]/Table1[[#This Row],[Sales_Amount]])*100</f>
        <v>19.084215658957927</v>
      </c>
      <c r="M82" s="4" t="str" cm="1">
        <f t="array" ref="M82">_xlfn.IFS(Table1[[#This Row],[Sales_Amount]]&gt;200000,"High",AND(Table1[[#This Row],[Sales_Amount]]&gt;100000,Table1[[#This Row],[Sales_Amount]]&lt;200000),"Medium",Table1[[#This Row],[Sales_Amount]]&lt;100000,"Low")</f>
        <v>Low</v>
      </c>
      <c r="N82" t="str">
        <f>TEXT(Table1[[#This Row],[Order_Date]],"MMMM")</f>
        <v>September</v>
      </c>
      <c r="O82">
        <f>YEAR(Table1[[#This Row],[Order_Date]])</f>
        <v>2025</v>
      </c>
    </row>
    <row r="83" spans="1:15" x14ac:dyDescent="0.3">
      <c r="A83" t="s">
        <v>114</v>
      </c>
      <c r="B83" s="1">
        <v>45902</v>
      </c>
      <c r="C83" t="s">
        <v>40</v>
      </c>
      <c r="D83" t="s">
        <v>18</v>
      </c>
      <c r="E83" t="s">
        <v>25</v>
      </c>
      <c r="F83" s="3">
        <v>7</v>
      </c>
      <c r="G83" s="4">
        <v>43853</v>
      </c>
      <c r="H83" s="4">
        <v>306971</v>
      </c>
      <c r="I83" s="4">
        <v>218308.95</v>
      </c>
      <c r="J83" s="4">
        <v>88662.05</v>
      </c>
      <c r="K83" t="s">
        <v>58</v>
      </c>
      <c r="L83" s="3">
        <f>(Table1[[#This Row],[Profit]]/Table1[[#This Row],[Sales_Amount]])*100</f>
        <v>28.882874929553608</v>
      </c>
      <c r="M83" s="4" t="str" cm="1">
        <f t="array" ref="M83">_xlfn.IFS(Table1[[#This Row],[Sales_Amount]]&gt;200000,"High",AND(Table1[[#This Row],[Sales_Amount]]&gt;100000,Table1[[#This Row],[Sales_Amount]]&lt;200000),"Medium",Table1[[#This Row],[Sales_Amount]]&lt;100000,"Low")</f>
        <v>High</v>
      </c>
      <c r="N83" t="str">
        <f>TEXT(Table1[[#This Row],[Order_Date]],"MMMM")</f>
        <v>September</v>
      </c>
      <c r="O83">
        <f>YEAR(Table1[[#This Row],[Order_Date]])</f>
        <v>2025</v>
      </c>
    </row>
    <row r="84" spans="1:15" x14ac:dyDescent="0.3">
      <c r="A84" t="s">
        <v>115</v>
      </c>
      <c r="B84" s="1">
        <v>45903</v>
      </c>
      <c r="C84" t="s">
        <v>28</v>
      </c>
      <c r="D84" t="s">
        <v>13</v>
      </c>
      <c r="E84" t="s">
        <v>14</v>
      </c>
      <c r="F84" s="3">
        <v>7</v>
      </c>
      <c r="G84" s="4">
        <v>24236</v>
      </c>
      <c r="H84" s="4">
        <v>169652</v>
      </c>
      <c r="I84" s="4">
        <v>134139.69</v>
      </c>
      <c r="J84" s="4">
        <v>35512.31</v>
      </c>
      <c r="K84" t="s">
        <v>58</v>
      </c>
      <c r="L84" s="3">
        <f>(Table1[[#This Row],[Profit]]/Table1[[#This Row],[Sales_Amount]])*100</f>
        <v>20.932444061962133</v>
      </c>
      <c r="M84" s="4" t="str" cm="1">
        <f t="array" ref="M84">_xlfn.IFS(Table1[[#This Row],[Sales_Amount]]&gt;200000,"High",AND(Table1[[#This Row],[Sales_Amount]]&gt;100000,Table1[[#This Row],[Sales_Amount]]&lt;200000),"Medium",Table1[[#This Row],[Sales_Amount]]&lt;100000,"Low")</f>
        <v>Medium</v>
      </c>
      <c r="N84" t="str">
        <f>TEXT(Table1[[#This Row],[Order_Date]],"MMMM")</f>
        <v>September</v>
      </c>
      <c r="O84">
        <f>YEAR(Table1[[#This Row],[Order_Date]])</f>
        <v>2025</v>
      </c>
    </row>
    <row r="85" spans="1:15" x14ac:dyDescent="0.3">
      <c r="A85" t="s">
        <v>116</v>
      </c>
      <c r="B85" s="1">
        <v>45904</v>
      </c>
      <c r="C85" t="s">
        <v>28</v>
      </c>
      <c r="D85" t="s">
        <v>56</v>
      </c>
      <c r="E85" t="s">
        <v>19</v>
      </c>
      <c r="F85" s="3">
        <v>9</v>
      </c>
      <c r="G85" s="4">
        <v>43128</v>
      </c>
      <c r="H85" s="4">
        <v>388152</v>
      </c>
      <c r="I85" s="4">
        <v>264341.11</v>
      </c>
      <c r="J85" s="4">
        <v>123810.89</v>
      </c>
      <c r="K85" t="s">
        <v>58</v>
      </c>
      <c r="L85" s="3">
        <f>(Table1[[#This Row],[Profit]]/Table1[[#This Row],[Sales_Amount]])*100</f>
        <v>31.897527257363095</v>
      </c>
      <c r="M85" s="4" t="str" cm="1">
        <f t="array" ref="M85">_xlfn.IFS(Table1[[#This Row],[Sales_Amount]]&gt;200000,"High",AND(Table1[[#This Row],[Sales_Amount]]&gt;100000,Table1[[#This Row],[Sales_Amount]]&lt;200000),"Medium",Table1[[#This Row],[Sales_Amount]]&lt;100000,"Low")</f>
        <v>High</v>
      </c>
      <c r="N85" t="str">
        <f>TEXT(Table1[[#This Row],[Order_Date]],"MMMM")</f>
        <v>September</v>
      </c>
      <c r="O85">
        <f>YEAR(Table1[[#This Row],[Order_Date]])</f>
        <v>2025</v>
      </c>
    </row>
    <row r="86" spans="1:15" x14ac:dyDescent="0.3">
      <c r="A86" t="s">
        <v>117</v>
      </c>
      <c r="B86" s="1">
        <v>45905</v>
      </c>
      <c r="C86" t="s">
        <v>17</v>
      </c>
      <c r="D86" t="s">
        <v>44</v>
      </c>
      <c r="E86" t="s">
        <v>32</v>
      </c>
      <c r="F86" s="3">
        <v>6</v>
      </c>
      <c r="G86" s="4">
        <v>16588</v>
      </c>
      <c r="H86" s="4">
        <v>99528</v>
      </c>
      <c r="I86" s="4">
        <v>84521.1</v>
      </c>
      <c r="J86" s="4">
        <v>15006.9</v>
      </c>
      <c r="K86" t="s">
        <v>58</v>
      </c>
      <c r="L86" s="3">
        <f>(Table1[[#This Row],[Profit]]/Table1[[#This Row],[Sales_Amount]])*100</f>
        <v>15.078068483240898</v>
      </c>
      <c r="M86" s="4" t="str" cm="1">
        <f t="array" ref="M86">_xlfn.IFS(Table1[[#This Row],[Sales_Amount]]&gt;200000,"High",AND(Table1[[#This Row],[Sales_Amount]]&gt;100000,Table1[[#This Row],[Sales_Amount]]&lt;200000),"Medium",Table1[[#This Row],[Sales_Amount]]&lt;100000,"Low")</f>
        <v>Low</v>
      </c>
      <c r="N86" t="str">
        <f>TEXT(Table1[[#This Row],[Order_Date]],"MMMM")</f>
        <v>September</v>
      </c>
      <c r="O86">
        <f>YEAR(Table1[[#This Row],[Order_Date]])</f>
        <v>2025</v>
      </c>
    </row>
    <row r="87" spans="1:15" x14ac:dyDescent="0.3">
      <c r="A87" t="s">
        <v>118</v>
      </c>
      <c r="B87" s="1">
        <v>45906</v>
      </c>
      <c r="C87" t="s">
        <v>40</v>
      </c>
      <c r="D87" t="s">
        <v>18</v>
      </c>
      <c r="E87" t="s">
        <v>37</v>
      </c>
      <c r="F87" s="3">
        <v>10</v>
      </c>
      <c r="G87" s="4">
        <v>40498</v>
      </c>
      <c r="H87" s="4">
        <v>404980</v>
      </c>
      <c r="I87" s="4">
        <v>324168.89</v>
      </c>
      <c r="J87" s="4">
        <v>80811.11</v>
      </c>
      <c r="K87" t="s">
        <v>58</v>
      </c>
      <c r="L87" s="3">
        <f>(Table1[[#This Row],[Profit]]/Table1[[#This Row],[Sales_Amount]])*100</f>
        <v>19.954345893624374</v>
      </c>
      <c r="M87" s="4" t="str" cm="1">
        <f t="array" ref="M87">_xlfn.IFS(Table1[[#This Row],[Sales_Amount]]&gt;200000,"High",AND(Table1[[#This Row],[Sales_Amount]]&gt;100000,Table1[[#This Row],[Sales_Amount]]&lt;200000),"Medium",Table1[[#This Row],[Sales_Amount]]&lt;100000,"Low")</f>
        <v>High</v>
      </c>
      <c r="N87" t="str">
        <f>TEXT(Table1[[#This Row],[Order_Date]],"MMMM")</f>
        <v>September</v>
      </c>
      <c r="O87">
        <f>YEAR(Table1[[#This Row],[Order_Date]])</f>
        <v>2025</v>
      </c>
    </row>
    <row r="88" spans="1:15" x14ac:dyDescent="0.3">
      <c r="A88" t="s">
        <v>119</v>
      </c>
      <c r="B88" s="1">
        <v>45907</v>
      </c>
      <c r="C88" t="s">
        <v>40</v>
      </c>
      <c r="D88" t="s">
        <v>34</v>
      </c>
      <c r="E88" t="s">
        <v>22</v>
      </c>
      <c r="F88" s="3">
        <v>8</v>
      </c>
      <c r="G88" s="4">
        <v>14401</v>
      </c>
      <c r="H88" s="4">
        <v>115208</v>
      </c>
      <c r="I88" s="4">
        <v>81388.399999999994</v>
      </c>
      <c r="J88" s="4">
        <v>33819.599999999999</v>
      </c>
      <c r="K88" t="s">
        <v>26</v>
      </c>
      <c r="L88" s="3">
        <f>(Table1[[#This Row],[Profit]]/Table1[[#This Row],[Sales_Amount]])*100</f>
        <v>29.355253107423096</v>
      </c>
      <c r="M88" s="4" t="str" cm="1">
        <f t="array" ref="M88">_xlfn.IFS(Table1[[#This Row],[Sales_Amount]]&gt;200000,"High",AND(Table1[[#This Row],[Sales_Amount]]&gt;100000,Table1[[#This Row],[Sales_Amount]]&lt;200000),"Medium",Table1[[#This Row],[Sales_Amount]]&lt;100000,"Low")</f>
        <v>Medium</v>
      </c>
      <c r="N88" t="str">
        <f>TEXT(Table1[[#This Row],[Order_Date]],"MMMM")</f>
        <v>September</v>
      </c>
      <c r="O88">
        <f>YEAR(Table1[[#This Row],[Order_Date]])</f>
        <v>2025</v>
      </c>
    </row>
    <row r="89" spans="1:15" x14ac:dyDescent="0.3">
      <c r="A89" t="s">
        <v>120</v>
      </c>
      <c r="B89" s="1">
        <v>45908</v>
      </c>
      <c r="C89" t="s">
        <v>12</v>
      </c>
      <c r="D89" t="s">
        <v>29</v>
      </c>
      <c r="E89" t="s">
        <v>19</v>
      </c>
      <c r="F89" s="3">
        <v>5</v>
      </c>
      <c r="G89" s="4">
        <v>36924</v>
      </c>
      <c r="H89" s="4">
        <v>184620</v>
      </c>
      <c r="I89" s="4">
        <v>111334.23</v>
      </c>
      <c r="J89" s="4">
        <v>73285.77</v>
      </c>
      <c r="K89" t="s">
        <v>23</v>
      </c>
      <c r="L89" s="3">
        <f>(Table1[[#This Row],[Profit]]/Table1[[#This Row],[Sales_Amount]])*100</f>
        <v>39.69546636334092</v>
      </c>
      <c r="M89" s="4" t="str" cm="1">
        <f t="array" ref="M89">_xlfn.IFS(Table1[[#This Row],[Sales_Amount]]&gt;200000,"High",AND(Table1[[#This Row],[Sales_Amount]]&gt;100000,Table1[[#This Row],[Sales_Amount]]&lt;200000),"Medium",Table1[[#This Row],[Sales_Amount]]&lt;100000,"Low")</f>
        <v>Medium</v>
      </c>
      <c r="N89" t="str">
        <f>TEXT(Table1[[#This Row],[Order_Date]],"MMMM")</f>
        <v>September</v>
      </c>
      <c r="O89">
        <f>YEAR(Table1[[#This Row],[Order_Date]])</f>
        <v>2025</v>
      </c>
    </row>
    <row r="90" spans="1:15" x14ac:dyDescent="0.3">
      <c r="A90" t="s">
        <v>121</v>
      </c>
      <c r="B90" s="1">
        <v>45909</v>
      </c>
      <c r="C90" t="s">
        <v>28</v>
      </c>
      <c r="D90" t="s">
        <v>56</v>
      </c>
      <c r="E90" t="s">
        <v>37</v>
      </c>
      <c r="F90" s="3">
        <v>9</v>
      </c>
      <c r="G90" s="4">
        <v>16249</v>
      </c>
      <c r="H90" s="4">
        <v>146241</v>
      </c>
      <c r="I90" s="4">
        <v>118043.22</v>
      </c>
      <c r="J90" s="4">
        <v>28197.78</v>
      </c>
      <c r="K90" t="s">
        <v>15</v>
      </c>
      <c r="L90" s="3">
        <f>(Table1[[#This Row],[Profit]]/Table1[[#This Row],[Sales_Amount]])*100</f>
        <v>19.281719900711838</v>
      </c>
      <c r="M90" s="4" t="str" cm="1">
        <f t="array" ref="M90">_xlfn.IFS(Table1[[#This Row],[Sales_Amount]]&gt;200000,"High",AND(Table1[[#This Row],[Sales_Amount]]&gt;100000,Table1[[#This Row],[Sales_Amount]]&lt;200000),"Medium",Table1[[#This Row],[Sales_Amount]]&lt;100000,"Low")</f>
        <v>Medium</v>
      </c>
      <c r="N90" t="str">
        <f>TEXT(Table1[[#This Row],[Order_Date]],"MMMM")</f>
        <v>September</v>
      </c>
      <c r="O90">
        <f>YEAR(Table1[[#This Row],[Order_Date]])</f>
        <v>2025</v>
      </c>
    </row>
    <row r="91" spans="1:15" x14ac:dyDescent="0.3">
      <c r="A91" t="s">
        <v>122</v>
      </c>
      <c r="B91" s="1">
        <v>45910</v>
      </c>
      <c r="C91" t="s">
        <v>40</v>
      </c>
      <c r="D91" t="s">
        <v>34</v>
      </c>
      <c r="E91" t="s">
        <v>32</v>
      </c>
      <c r="F91" s="3">
        <v>4</v>
      </c>
      <c r="G91" s="4">
        <v>27002</v>
      </c>
      <c r="H91" s="4">
        <v>108008</v>
      </c>
      <c r="I91" s="4">
        <v>87220.36</v>
      </c>
      <c r="J91" s="4">
        <v>20787.64</v>
      </c>
      <c r="K91" t="s">
        <v>58</v>
      </c>
      <c r="L91" s="3">
        <f>(Table1[[#This Row],[Profit]]/Table1[[#This Row],[Sales_Amount]])*100</f>
        <v>19.246389156358788</v>
      </c>
      <c r="M91" s="4" t="str" cm="1">
        <f t="array" ref="M91">_xlfn.IFS(Table1[[#This Row],[Sales_Amount]]&gt;200000,"High",AND(Table1[[#This Row],[Sales_Amount]]&gt;100000,Table1[[#This Row],[Sales_Amount]]&lt;200000),"Medium",Table1[[#This Row],[Sales_Amount]]&lt;100000,"Low")</f>
        <v>Medium</v>
      </c>
      <c r="N91" t="str">
        <f>TEXT(Table1[[#This Row],[Order_Date]],"MMMM")</f>
        <v>September</v>
      </c>
      <c r="O91">
        <f>YEAR(Table1[[#This Row],[Order_Date]])</f>
        <v>2025</v>
      </c>
    </row>
    <row r="92" spans="1:15" x14ac:dyDescent="0.3">
      <c r="A92" t="s">
        <v>123</v>
      </c>
      <c r="B92" s="1">
        <v>45911</v>
      </c>
      <c r="C92" t="s">
        <v>40</v>
      </c>
      <c r="D92" t="s">
        <v>34</v>
      </c>
      <c r="E92" t="s">
        <v>25</v>
      </c>
      <c r="F92" s="3">
        <v>6</v>
      </c>
      <c r="G92" s="4">
        <v>28385</v>
      </c>
      <c r="H92" s="4">
        <v>170310</v>
      </c>
      <c r="I92" s="4">
        <v>153106.89000000001</v>
      </c>
      <c r="J92" s="4">
        <v>17203.11</v>
      </c>
      <c r="K92" t="s">
        <v>58</v>
      </c>
      <c r="L92" s="3">
        <f>(Table1[[#This Row],[Profit]]/Table1[[#This Row],[Sales_Amount]])*100</f>
        <v>10.10105689624802</v>
      </c>
      <c r="M92" s="4" t="str" cm="1">
        <f t="array" ref="M92">_xlfn.IFS(Table1[[#This Row],[Sales_Amount]]&gt;200000,"High",AND(Table1[[#This Row],[Sales_Amount]]&gt;100000,Table1[[#This Row],[Sales_Amount]]&lt;200000),"Medium",Table1[[#This Row],[Sales_Amount]]&lt;100000,"Low")</f>
        <v>Medium</v>
      </c>
      <c r="N92" t="str">
        <f>TEXT(Table1[[#This Row],[Order_Date]],"MMMM")</f>
        <v>September</v>
      </c>
      <c r="O92">
        <f>YEAR(Table1[[#This Row],[Order_Date]])</f>
        <v>2025</v>
      </c>
    </row>
    <row r="93" spans="1:15" x14ac:dyDescent="0.3">
      <c r="A93" t="s">
        <v>124</v>
      </c>
      <c r="B93" s="1">
        <v>45912</v>
      </c>
      <c r="C93" t="s">
        <v>12</v>
      </c>
      <c r="D93" t="s">
        <v>34</v>
      </c>
      <c r="E93" t="s">
        <v>32</v>
      </c>
      <c r="F93" s="3">
        <v>5</v>
      </c>
      <c r="G93" s="4">
        <v>15608</v>
      </c>
      <c r="H93" s="4">
        <v>78040</v>
      </c>
      <c r="I93" s="4">
        <v>49648.800000000003</v>
      </c>
      <c r="J93" s="4">
        <v>28391.200000000001</v>
      </c>
      <c r="K93" t="s">
        <v>15</v>
      </c>
      <c r="L93" s="3">
        <f>(Table1[[#This Row],[Profit]]/Table1[[#This Row],[Sales_Amount]])*100</f>
        <v>36.380317785750897</v>
      </c>
      <c r="M93" s="4" t="str" cm="1">
        <f t="array" ref="M93">_xlfn.IFS(Table1[[#This Row],[Sales_Amount]]&gt;200000,"High",AND(Table1[[#This Row],[Sales_Amount]]&gt;100000,Table1[[#This Row],[Sales_Amount]]&lt;200000),"Medium",Table1[[#This Row],[Sales_Amount]]&lt;100000,"Low")</f>
        <v>Low</v>
      </c>
      <c r="N93" t="str">
        <f>TEXT(Table1[[#This Row],[Order_Date]],"MMMM")</f>
        <v>September</v>
      </c>
      <c r="O93">
        <f>YEAR(Table1[[#This Row],[Order_Date]])</f>
        <v>2025</v>
      </c>
    </row>
    <row r="94" spans="1:15" x14ac:dyDescent="0.3">
      <c r="A94" t="s">
        <v>125</v>
      </c>
      <c r="B94" s="1">
        <v>45913</v>
      </c>
      <c r="C94" t="s">
        <v>28</v>
      </c>
      <c r="D94" t="s">
        <v>44</v>
      </c>
      <c r="E94" t="s">
        <v>19</v>
      </c>
      <c r="F94" s="3">
        <v>3</v>
      </c>
      <c r="G94" s="4">
        <v>13052</v>
      </c>
      <c r="H94" s="4">
        <v>39156</v>
      </c>
      <c r="I94" s="4">
        <v>26035.43</v>
      </c>
      <c r="J94" s="4">
        <v>13120.57</v>
      </c>
      <c r="K94" t="s">
        <v>26</v>
      </c>
      <c r="L94" s="3">
        <f>(Table1[[#This Row],[Profit]]/Table1[[#This Row],[Sales_Amount]])*100</f>
        <v>33.50845336602309</v>
      </c>
      <c r="M94" s="4" t="str" cm="1">
        <f t="array" ref="M94">_xlfn.IFS(Table1[[#This Row],[Sales_Amount]]&gt;200000,"High",AND(Table1[[#This Row],[Sales_Amount]]&gt;100000,Table1[[#This Row],[Sales_Amount]]&lt;200000),"Medium",Table1[[#This Row],[Sales_Amount]]&lt;100000,"Low")</f>
        <v>Low</v>
      </c>
      <c r="N94" t="str">
        <f>TEXT(Table1[[#This Row],[Order_Date]],"MMMM")</f>
        <v>September</v>
      </c>
      <c r="O94">
        <f>YEAR(Table1[[#This Row],[Order_Date]])</f>
        <v>2025</v>
      </c>
    </row>
    <row r="95" spans="1:15" x14ac:dyDescent="0.3">
      <c r="A95" t="s">
        <v>126</v>
      </c>
      <c r="B95" s="1">
        <v>45914</v>
      </c>
      <c r="C95" t="s">
        <v>40</v>
      </c>
      <c r="D95" t="s">
        <v>18</v>
      </c>
      <c r="E95" t="s">
        <v>22</v>
      </c>
      <c r="F95" s="3">
        <v>5</v>
      </c>
      <c r="G95" s="4">
        <v>15408</v>
      </c>
      <c r="H95" s="4">
        <v>77040</v>
      </c>
      <c r="I95" s="4">
        <v>54564.68</v>
      </c>
      <c r="J95" s="4">
        <v>22475.32</v>
      </c>
      <c r="K95" t="s">
        <v>23</v>
      </c>
      <c r="L95" s="3">
        <f>(Table1[[#This Row],[Profit]]/Table1[[#This Row],[Sales_Amount]])*100</f>
        <v>29.173572170301142</v>
      </c>
      <c r="M95" s="4" t="str" cm="1">
        <f t="array" ref="M95">_xlfn.IFS(Table1[[#This Row],[Sales_Amount]]&gt;200000,"High",AND(Table1[[#This Row],[Sales_Amount]]&gt;100000,Table1[[#This Row],[Sales_Amount]]&lt;200000),"Medium",Table1[[#This Row],[Sales_Amount]]&lt;100000,"Low")</f>
        <v>Low</v>
      </c>
      <c r="N95" t="str">
        <f>TEXT(Table1[[#This Row],[Order_Date]],"MMMM")</f>
        <v>September</v>
      </c>
      <c r="O95">
        <f>YEAR(Table1[[#This Row],[Order_Date]])</f>
        <v>2025</v>
      </c>
    </row>
    <row r="96" spans="1:15" x14ac:dyDescent="0.3">
      <c r="A96" t="s">
        <v>127</v>
      </c>
      <c r="B96" s="1">
        <v>45915</v>
      </c>
      <c r="C96" t="s">
        <v>12</v>
      </c>
      <c r="D96" t="s">
        <v>56</v>
      </c>
      <c r="E96" t="s">
        <v>14</v>
      </c>
      <c r="F96" s="3">
        <v>1</v>
      </c>
      <c r="G96" s="4">
        <v>36764</v>
      </c>
      <c r="H96" s="4">
        <v>36764</v>
      </c>
      <c r="I96" s="4">
        <v>25280.43</v>
      </c>
      <c r="J96" s="4">
        <v>11483.57</v>
      </c>
      <c r="K96" t="s">
        <v>15</v>
      </c>
      <c r="L96" s="3">
        <f>(Table1[[#This Row],[Profit]]/Table1[[#This Row],[Sales_Amount]])*100</f>
        <v>31.235910129474487</v>
      </c>
      <c r="M96" s="4" t="str" cm="1">
        <f t="array" ref="M96">_xlfn.IFS(Table1[[#This Row],[Sales_Amount]]&gt;200000,"High",AND(Table1[[#This Row],[Sales_Amount]]&gt;100000,Table1[[#This Row],[Sales_Amount]]&lt;200000),"Medium",Table1[[#This Row],[Sales_Amount]]&lt;100000,"Low")</f>
        <v>Low</v>
      </c>
      <c r="N96" t="str">
        <f>TEXT(Table1[[#This Row],[Order_Date]],"MMMM")</f>
        <v>September</v>
      </c>
      <c r="O96">
        <f>YEAR(Table1[[#This Row],[Order_Date]])</f>
        <v>2025</v>
      </c>
    </row>
    <row r="97" spans="1:15" x14ac:dyDescent="0.3">
      <c r="A97" t="s">
        <v>128</v>
      </c>
      <c r="B97" s="1">
        <v>45916</v>
      </c>
      <c r="C97" t="s">
        <v>40</v>
      </c>
      <c r="D97" t="s">
        <v>13</v>
      </c>
      <c r="E97" t="s">
        <v>25</v>
      </c>
      <c r="F97" s="3">
        <v>5</v>
      </c>
      <c r="G97" s="4">
        <v>31262</v>
      </c>
      <c r="H97" s="4">
        <v>156310</v>
      </c>
      <c r="I97" s="4">
        <v>116234.35</v>
      </c>
      <c r="J97" s="4">
        <v>40075.65</v>
      </c>
      <c r="K97" t="s">
        <v>15</v>
      </c>
      <c r="L97" s="3">
        <f>(Table1[[#This Row],[Profit]]/Table1[[#This Row],[Sales_Amount]])*100</f>
        <v>25.638570788817095</v>
      </c>
      <c r="M97" s="4" t="str" cm="1">
        <f t="array" ref="M97">_xlfn.IFS(Table1[[#This Row],[Sales_Amount]]&gt;200000,"High",AND(Table1[[#This Row],[Sales_Amount]]&gt;100000,Table1[[#This Row],[Sales_Amount]]&lt;200000),"Medium",Table1[[#This Row],[Sales_Amount]]&lt;100000,"Low")</f>
        <v>Medium</v>
      </c>
      <c r="N97" t="str">
        <f>TEXT(Table1[[#This Row],[Order_Date]],"MMMM")</f>
        <v>September</v>
      </c>
      <c r="O97">
        <f>YEAR(Table1[[#This Row],[Order_Date]])</f>
        <v>2025</v>
      </c>
    </row>
    <row r="98" spans="1:15" x14ac:dyDescent="0.3">
      <c r="A98" t="s">
        <v>129</v>
      </c>
      <c r="B98" s="1">
        <v>45917</v>
      </c>
      <c r="C98" t="s">
        <v>17</v>
      </c>
      <c r="D98" t="s">
        <v>18</v>
      </c>
      <c r="E98" t="s">
        <v>37</v>
      </c>
      <c r="F98" s="3">
        <v>2</v>
      </c>
      <c r="G98" s="4">
        <v>4782</v>
      </c>
      <c r="H98" s="4">
        <v>9564</v>
      </c>
      <c r="I98" s="4">
        <v>6888.11</v>
      </c>
      <c r="J98" s="4">
        <v>2675.89</v>
      </c>
      <c r="K98" t="s">
        <v>23</v>
      </c>
      <c r="L98" s="3">
        <f>(Table1[[#This Row],[Profit]]/Table1[[#This Row],[Sales_Amount]])*100</f>
        <v>27.978774571309074</v>
      </c>
      <c r="M98" s="4" t="str" cm="1">
        <f t="array" ref="M98">_xlfn.IFS(Table1[[#This Row],[Sales_Amount]]&gt;200000,"High",AND(Table1[[#This Row],[Sales_Amount]]&gt;100000,Table1[[#This Row],[Sales_Amount]]&lt;200000),"Medium",Table1[[#This Row],[Sales_Amount]]&lt;100000,"Low")</f>
        <v>Low</v>
      </c>
      <c r="N98" t="str">
        <f>TEXT(Table1[[#This Row],[Order_Date]],"MMMM")</f>
        <v>September</v>
      </c>
      <c r="O98">
        <f>YEAR(Table1[[#This Row],[Order_Date]])</f>
        <v>2025</v>
      </c>
    </row>
    <row r="99" spans="1:15" x14ac:dyDescent="0.3">
      <c r="A99" t="s">
        <v>130</v>
      </c>
      <c r="B99" s="1">
        <v>45918</v>
      </c>
      <c r="C99" t="s">
        <v>17</v>
      </c>
      <c r="D99" t="s">
        <v>21</v>
      </c>
      <c r="E99" t="s">
        <v>25</v>
      </c>
      <c r="F99" s="3">
        <v>5</v>
      </c>
      <c r="G99" s="4">
        <v>6082</v>
      </c>
      <c r="H99" s="4">
        <v>30410</v>
      </c>
      <c r="I99" s="4">
        <v>27313.52</v>
      </c>
      <c r="J99" s="4">
        <v>3096.48</v>
      </c>
      <c r="K99" t="s">
        <v>23</v>
      </c>
      <c r="L99" s="3">
        <f>(Table1[[#This Row],[Profit]]/Table1[[#This Row],[Sales_Amount]])*100</f>
        <v>10.182439986846433</v>
      </c>
      <c r="M99" s="4" t="str" cm="1">
        <f t="array" ref="M99">_xlfn.IFS(Table1[[#This Row],[Sales_Amount]]&gt;200000,"High",AND(Table1[[#This Row],[Sales_Amount]]&gt;100000,Table1[[#This Row],[Sales_Amount]]&lt;200000),"Medium",Table1[[#This Row],[Sales_Amount]]&lt;100000,"Low")</f>
        <v>Low</v>
      </c>
      <c r="N99" t="str">
        <f>TEXT(Table1[[#This Row],[Order_Date]],"MMMM")</f>
        <v>September</v>
      </c>
      <c r="O99">
        <f>YEAR(Table1[[#This Row],[Order_Date]])</f>
        <v>2025</v>
      </c>
    </row>
    <row r="100" spans="1:15" x14ac:dyDescent="0.3">
      <c r="A100" t="s">
        <v>131</v>
      </c>
      <c r="B100" s="1">
        <v>45919</v>
      </c>
      <c r="C100" t="s">
        <v>28</v>
      </c>
      <c r="D100" t="s">
        <v>44</v>
      </c>
      <c r="E100" t="s">
        <v>37</v>
      </c>
      <c r="F100" s="3">
        <v>8</v>
      </c>
      <c r="G100" s="4">
        <v>29514</v>
      </c>
      <c r="H100" s="4">
        <v>236112</v>
      </c>
      <c r="I100" s="4">
        <v>162729.79</v>
      </c>
      <c r="J100" s="4">
        <v>73382.210000000006</v>
      </c>
      <c r="K100" t="s">
        <v>15</v>
      </c>
      <c r="L100" s="3">
        <f>(Table1[[#This Row],[Profit]]/Table1[[#This Row],[Sales_Amount]])*100</f>
        <v>31.079407230466899</v>
      </c>
      <c r="M100" s="4" t="str" cm="1">
        <f t="array" ref="M100">_xlfn.IFS(Table1[[#This Row],[Sales_Amount]]&gt;200000,"High",AND(Table1[[#This Row],[Sales_Amount]]&gt;100000,Table1[[#This Row],[Sales_Amount]]&lt;200000),"Medium",Table1[[#This Row],[Sales_Amount]]&lt;100000,"Low")</f>
        <v>High</v>
      </c>
      <c r="N100" t="str">
        <f>TEXT(Table1[[#This Row],[Order_Date]],"MMMM")</f>
        <v>September</v>
      </c>
      <c r="O100">
        <f>YEAR(Table1[[#This Row],[Order_Date]])</f>
        <v>2025</v>
      </c>
    </row>
    <row r="101" spans="1:15" x14ac:dyDescent="0.3">
      <c r="A101" t="s">
        <v>132</v>
      </c>
      <c r="B101" s="1">
        <v>45920</v>
      </c>
      <c r="C101" t="s">
        <v>40</v>
      </c>
      <c r="D101" t="s">
        <v>29</v>
      </c>
      <c r="E101" t="s">
        <v>19</v>
      </c>
      <c r="F101" s="3">
        <v>2</v>
      </c>
      <c r="G101" s="4">
        <v>14117</v>
      </c>
      <c r="H101" s="4">
        <v>28234</v>
      </c>
      <c r="I101" s="4">
        <v>22238.639999999999</v>
      </c>
      <c r="J101" s="4">
        <v>5995.36</v>
      </c>
      <c r="K101" t="s">
        <v>23</v>
      </c>
      <c r="L101" s="3">
        <f>(Table1[[#This Row],[Profit]]/Table1[[#This Row],[Sales_Amount]])*100</f>
        <v>21.234539916412835</v>
      </c>
      <c r="M101" s="4" t="str" cm="1">
        <f t="array" ref="M101">_xlfn.IFS(Table1[[#This Row],[Sales_Amount]]&gt;200000,"High",AND(Table1[[#This Row],[Sales_Amount]]&gt;100000,Table1[[#This Row],[Sales_Amount]]&lt;200000),"Medium",Table1[[#This Row],[Sales_Amount]]&lt;100000,"Low")</f>
        <v>Low</v>
      </c>
      <c r="N101" t="str">
        <f>TEXT(Table1[[#This Row],[Order_Date]],"MMMM")</f>
        <v>September</v>
      </c>
      <c r="O101">
        <f>YEAR(Table1[[#This Row],[Order_Date]])</f>
        <v>2025</v>
      </c>
    </row>
    <row r="102" spans="1:15" x14ac:dyDescent="0.3">
      <c r="A102" t="s">
        <v>133</v>
      </c>
      <c r="B102" s="1">
        <v>45921</v>
      </c>
      <c r="C102" t="s">
        <v>28</v>
      </c>
      <c r="D102" t="s">
        <v>56</v>
      </c>
      <c r="E102" t="s">
        <v>22</v>
      </c>
      <c r="F102" s="3">
        <v>9</v>
      </c>
      <c r="G102" s="4">
        <v>5419</v>
      </c>
      <c r="H102" s="4">
        <v>48771</v>
      </c>
      <c r="I102" s="4">
        <v>31552.880000000001</v>
      </c>
      <c r="J102" s="4">
        <v>17218.12</v>
      </c>
      <c r="K102" t="s">
        <v>58</v>
      </c>
      <c r="L102" s="3">
        <f>(Table1[[#This Row],[Profit]]/Table1[[#This Row],[Sales_Amount]])*100</f>
        <v>35.304012630456619</v>
      </c>
      <c r="M102" s="4" t="str" cm="1">
        <f t="array" ref="M102">_xlfn.IFS(Table1[[#This Row],[Sales_Amount]]&gt;200000,"High",AND(Table1[[#This Row],[Sales_Amount]]&gt;100000,Table1[[#This Row],[Sales_Amount]]&lt;200000),"Medium",Table1[[#This Row],[Sales_Amount]]&lt;100000,"Low")</f>
        <v>Low</v>
      </c>
      <c r="N102" t="str">
        <f>TEXT(Table1[[#This Row],[Order_Date]],"MMMM")</f>
        <v>September</v>
      </c>
      <c r="O102">
        <f>YEAR(Table1[[#This Row],[Order_Date]])</f>
        <v>2025</v>
      </c>
    </row>
    <row r="103" spans="1:15" x14ac:dyDescent="0.3">
      <c r="A103" t="s">
        <v>134</v>
      </c>
      <c r="B103" s="1">
        <v>45922</v>
      </c>
      <c r="C103" t="s">
        <v>28</v>
      </c>
      <c r="D103" t="s">
        <v>29</v>
      </c>
      <c r="E103" t="s">
        <v>14</v>
      </c>
      <c r="F103" s="3">
        <v>4</v>
      </c>
      <c r="G103" s="4">
        <v>19381</v>
      </c>
      <c r="H103" s="4">
        <v>77524</v>
      </c>
      <c r="I103" s="4">
        <v>62956.21</v>
      </c>
      <c r="J103" s="4">
        <v>14567.79</v>
      </c>
      <c r="K103" t="s">
        <v>23</v>
      </c>
      <c r="L103" s="3">
        <f>(Table1[[#This Row],[Profit]]/Table1[[#This Row],[Sales_Amount]])*100</f>
        <v>18.79132913678345</v>
      </c>
      <c r="M103" s="4" t="str" cm="1">
        <f t="array" ref="M103">_xlfn.IFS(Table1[[#This Row],[Sales_Amount]]&gt;200000,"High",AND(Table1[[#This Row],[Sales_Amount]]&gt;100000,Table1[[#This Row],[Sales_Amount]]&lt;200000),"Medium",Table1[[#This Row],[Sales_Amount]]&lt;100000,"Low")</f>
        <v>Low</v>
      </c>
      <c r="N103" t="str">
        <f>TEXT(Table1[[#This Row],[Order_Date]],"MMMM")</f>
        <v>September</v>
      </c>
      <c r="O103">
        <f>YEAR(Table1[[#This Row],[Order_Date]])</f>
        <v>2025</v>
      </c>
    </row>
    <row r="104" spans="1:15" x14ac:dyDescent="0.3">
      <c r="A104" t="s">
        <v>135</v>
      </c>
      <c r="B104" s="1">
        <v>45923</v>
      </c>
      <c r="C104" t="s">
        <v>12</v>
      </c>
      <c r="D104" t="s">
        <v>21</v>
      </c>
      <c r="E104" t="s">
        <v>19</v>
      </c>
      <c r="F104" s="3">
        <v>10</v>
      </c>
      <c r="G104" s="4">
        <v>43831</v>
      </c>
      <c r="H104" s="4">
        <v>438310</v>
      </c>
      <c r="I104" s="4">
        <v>368693.97</v>
      </c>
      <c r="J104" s="4">
        <v>69616.03</v>
      </c>
      <c r="K104" t="s">
        <v>15</v>
      </c>
      <c r="L104" s="3">
        <f>(Table1[[#This Row],[Profit]]/Table1[[#This Row],[Sales_Amount]])*100</f>
        <v>15.882829504232166</v>
      </c>
      <c r="M104" s="4" t="str" cm="1">
        <f t="array" ref="M104">_xlfn.IFS(Table1[[#This Row],[Sales_Amount]]&gt;200000,"High",AND(Table1[[#This Row],[Sales_Amount]]&gt;100000,Table1[[#This Row],[Sales_Amount]]&lt;200000),"Medium",Table1[[#This Row],[Sales_Amount]]&lt;100000,"Low")</f>
        <v>High</v>
      </c>
      <c r="N104" t="str">
        <f>TEXT(Table1[[#This Row],[Order_Date]],"MMMM")</f>
        <v>September</v>
      </c>
      <c r="O104">
        <f>YEAR(Table1[[#This Row],[Order_Date]])</f>
        <v>2025</v>
      </c>
    </row>
    <row r="105" spans="1:15" x14ac:dyDescent="0.3">
      <c r="A105" t="s">
        <v>136</v>
      </c>
      <c r="B105" s="1">
        <v>45924</v>
      </c>
      <c r="C105" t="s">
        <v>17</v>
      </c>
      <c r="D105" t="s">
        <v>18</v>
      </c>
      <c r="E105" t="s">
        <v>22</v>
      </c>
      <c r="F105" s="3">
        <v>3</v>
      </c>
      <c r="G105" s="4">
        <v>17908</v>
      </c>
      <c r="H105" s="4">
        <v>53724</v>
      </c>
      <c r="I105" s="4">
        <v>45557.38</v>
      </c>
      <c r="J105" s="4">
        <v>8166.62</v>
      </c>
      <c r="K105" t="s">
        <v>23</v>
      </c>
      <c r="L105" s="3">
        <f>(Table1[[#This Row],[Profit]]/Table1[[#This Row],[Sales_Amount]])*100</f>
        <v>15.2010647010647</v>
      </c>
      <c r="M105" s="4" t="str" cm="1">
        <f t="array" ref="M105">_xlfn.IFS(Table1[[#This Row],[Sales_Amount]]&gt;200000,"High",AND(Table1[[#This Row],[Sales_Amount]]&gt;100000,Table1[[#This Row],[Sales_Amount]]&lt;200000),"Medium",Table1[[#This Row],[Sales_Amount]]&lt;100000,"Low")</f>
        <v>Low</v>
      </c>
      <c r="N105" t="str">
        <f>TEXT(Table1[[#This Row],[Order_Date]],"MMMM")</f>
        <v>September</v>
      </c>
      <c r="O105">
        <f>YEAR(Table1[[#This Row],[Order_Date]])</f>
        <v>2025</v>
      </c>
    </row>
    <row r="106" spans="1:15" x14ac:dyDescent="0.3">
      <c r="A106" t="s">
        <v>137</v>
      </c>
      <c r="B106" s="1">
        <v>45925</v>
      </c>
      <c r="C106" t="s">
        <v>28</v>
      </c>
      <c r="D106" t="s">
        <v>44</v>
      </c>
      <c r="E106" t="s">
        <v>25</v>
      </c>
      <c r="F106" s="3">
        <v>10</v>
      </c>
      <c r="G106" s="4">
        <v>19414</v>
      </c>
      <c r="H106" s="4">
        <v>194140</v>
      </c>
      <c r="I106" s="4">
        <v>142061.18</v>
      </c>
      <c r="J106" s="4">
        <v>52078.82</v>
      </c>
      <c r="K106" t="s">
        <v>58</v>
      </c>
      <c r="L106" s="3">
        <f>(Table1[[#This Row],[Profit]]/Table1[[#This Row],[Sales_Amount]])*100</f>
        <v>26.82539404553415</v>
      </c>
      <c r="M106" s="4" t="str" cm="1">
        <f t="array" ref="M106">_xlfn.IFS(Table1[[#This Row],[Sales_Amount]]&gt;200000,"High",AND(Table1[[#This Row],[Sales_Amount]]&gt;100000,Table1[[#This Row],[Sales_Amount]]&lt;200000),"Medium",Table1[[#This Row],[Sales_Amount]]&lt;100000,"Low")</f>
        <v>Medium</v>
      </c>
      <c r="N106" t="str">
        <f>TEXT(Table1[[#This Row],[Order_Date]],"MMMM")</f>
        <v>September</v>
      </c>
      <c r="O106">
        <f>YEAR(Table1[[#This Row],[Order_Date]])</f>
        <v>2025</v>
      </c>
    </row>
    <row r="107" spans="1:15" x14ac:dyDescent="0.3">
      <c r="A107" t="s">
        <v>138</v>
      </c>
      <c r="B107" s="1">
        <v>45926</v>
      </c>
      <c r="C107" t="s">
        <v>17</v>
      </c>
      <c r="D107" t="s">
        <v>21</v>
      </c>
      <c r="E107" t="s">
        <v>25</v>
      </c>
      <c r="F107" s="3">
        <v>9</v>
      </c>
      <c r="G107" s="4">
        <v>32861</v>
      </c>
      <c r="H107" s="4">
        <v>295749</v>
      </c>
      <c r="I107" s="4">
        <v>216289.42</v>
      </c>
      <c r="J107" s="4">
        <v>79459.58</v>
      </c>
      <c r="K107" t="s">
        <v>26</v>
      </c>
      <c r="L107" s="3">
        <f>(Table1[[#This Row],[Profit]]/Table1[[#This Row],[Sales_Amount]])*100</f>
        <v>26.867235392173772</v>
      </c>
      <c r="M107" s="4" t="str" cm="1">
        <f t="array" ref="M107">_xlfn.IFS(Table1[[#This Row],[Sales_Amount]]&gt;200000,"High",AND(Table1[[#This Row],[Sales_Amount]]&gt;100000,Table1[[#This Row],[Sales_Amount]]&lt;200000),"Medium",Table1[[#This Row],[Sales_Amount]]&lt;100000,"Low")</f>
        <v>High</v>
      </c>
      <c r="N107" t="str">
        <f>TEXT(Table1[[#This Row],[Order_Date]],"MMMM")</f>
        <v>September</v>
      </c>
      <c r="O107">
        <f>YEAR(Table1[[#This Row],[Order_Date]])</f>
        <v>2025</v>
      </c>
    </row>
    <row r="108" spans="1:15" x14ac:dyDescent="0.3">
      <c r="A108" t="s">
        <v>139</v>
      </c>
      <c r="B108" s="1">
        <v>45927</v>
      </c>
      <c r="C108" t="s">
        <v>17</v>
      </c>
      <c r="D108" t="s">
        <v>44</v>
      </c>
      <c r="E108" t="s">
        <v>32</v>
      </c>
      <c r="F108" s="3">
        <v>1</v>
      </c>
      <c r="G108" s="4">
        <v>6485</v>
      </c>
      <c r="H108" s="4">
        <v>6485</v>
      </c>
      <c r="I108" s="4">
        <v>4336.37</v>
      </c>
      <c r="J108" s="4">
        <v>2148.63</v>
      </c>
      <c r="K108" t="s">
        <v>15</v>
      </c>
      <c r="L108" s="3">
        <f>(Table1[[#This Row],[Profit]]/Table1[[#This Row],[Sales_Amount]])*100</f>
        <v>33.132305319969163</v>
      </c>
      <c r="M108" s="4" t="str" cm="1">
        <f t="array" ref="M108">_xlfn.IFS(Table1[[#This Row],[Sales_Amount]]&gt;200000,"High",AND(Table1[[#This Row],[Sales_Amount]]&gt;100000,Table1[[#This Row],[Sales_Amount]]&lt;200000),"Medium",Table1[[#This Row],[Sales_Amount]]&lt;100000,"Low")</f>
        <v>Low</v>
      </c>
      <c r="N108" t="str">
        <f>TEXT(Table1[[#This Row],[Order_Date]],"MMMM")</f>
        <v>September</v>
      </c>
      <c r="O108">
        <f>YEAR(Table1[[#This Row],[Order_Date]])</f>
        <v>2025</v>
      </c>
    </row>
    <row r="109" spans="1:15" x14ac:dyDescent="0.3">
      <c r="A109" t="s">
        <v>140</v>
      </c>
      <c r="B109" s="1">
        <v>45928</v>
      </c>
      <c r="C109" t="s">
        <v>40</v>
      </c>
      <c r="D109" t="s">
        <v>13</v>
      </c>
      <c r="E109" t="s">
        <v>37</v>
      </c>
      <c r="F109" s="3">
        <v>9</v>
      </c>
      <c r="G109" s="4">
        <v>43197</v>
      </c>
      <c r="H109" s="4">
        <v>388773</v>
      </c>
      <c r="I109" s="4">
        <v>284841.86</v>
      </c>
      <c r="J109" s="4">
        <v>103931.14</v>
      </c>
      <c r="K109" t="s">
        <v>58</v>
      </c>
      <c r="L109" s="3">
        <f>(Table1[[#This Row],[Profit]]/Table1[[#This Row],[Sales_Amount]])*100</f>
        <v>26.73311675450713</v>
      </c>
      <c r="M109" s="4" t="str" cm="1">
        <f t="array" ref="M109">_xlfn.IFS(Table1[[#This Row],[Sales_Amount]]&gt;200000,"High",AND(Table1[[#This Row],[Sales_Amount]]&gt;100000,Table1[[#This Row],[Sales_Amount]]&lt;200000),"Medium",Table1[[#This Row],[Sales_Amount]]&lt;100000,"Low")</f>
        <v>High</v>
      </c>
      <c r="N109" t="str">
        <f>TEXT(Table1[[#This Row],[Order_Date]],"MMMM")</f>
        <v>September</v>
      </c>
      <c r="O109">
        <f>YEAR(Table1[[#This Row],[Order_Date]])</f>
        <v>2025</v>
      </c>
    </row>
    <row r="110" spans="1:15" x14ac:dyDescent="0.3">
      <c r="A110" t="s">
        <v>141</v>
      </c>
      <c r="B110" s="1">
        <v>45929</v>
      </c>
      <c r="C110" t="s">
        <v>40</v>
      </c>
      <c r="D110" t="s">
        <v>34</v>
      </c>
      <c r="E110" t="s">
        <v>37</v>
      </c>
      <c r="F110" s="3">
        <v>2</v>
      </c>
      <c r="G110" s="4">
        <v>31302</v>
      </c>
      <c r="H110" s="4">
        <v>62604</v>
      </c>
      <c r="I110" s="4">
        <v>44097.53</v>
      </c>
      <c r="J110" s="4">
        <v>18506.47</v>
      </c>
      <c r="K110" t="s">
        <v>15</v>
      </c>
      <c r="L110" s="3">
        <f>(Table1[[#This Row],[Profit]]/Table1[[#This Row],[Sales_Amount]])*100</f>
        <v>29.561162226055842</v>
      </c>
      <c r="M110" s="4" t="str" cm="1">
        <f t="array" ref="M110">_xlfn.IFS(Table1[[#This Row],[Sales_Amount]]&gt;200000,"High",AND(Table1[[#This Row],[Sales_Amount]]&gt;100000,Table1[[#This Row],[Sales_Amount]]&lt;200000),"Medium",Table1[[#This Row],[Sales_Amount]]&lt;100000,"Low")</f>
        <v>Low</v>
      </c>
      <c r="N110" t="str">
        <f>TEXT(Table1[[#This Row],[Order_Date]],"MMMM")</f>
        <v>September</v>
      </c>
      <c r="O110">
        <f>YEAR(Table1[[#This Row],[Order_Date]])</f>
        <v>2025</v>
      </c>
    </row>
    <row r="111" spans="1:15" x14ac:dyDescent="0.3">
      <c r="A111" t="s">
        <v>142</v>
      </c>
      <c r="B111" s="1">
        <v>45930</v>
      </c>
      <c r="C111" t="s">
        <v>28</v>
      </c>
      <c r="D111" t="s">
        <v>18</v>
      </c>
      <c r="E111" t="s">
        <v>32</v>
      </c>
      <c r="F111" s="3">
        <v>7</v>
      </c>
      <c r="G111" s="4">
        <v>45960</v>
      </c>
      <c r="H111" s="4">
        <v>321720</v>
      </c>
      <c r="I111" s="4">
        <v>240852.69</v>
      </c>
      <c r="J111" s="4">
        <v>80867.31</v>
      </c>
      <c r="K111" t="s">
        <v>58</v>
      </c>
      <c r="L111" s="3">
        <f>(Table1[[#This Row],[Profit]]/Table1[[#This Row],[Sales_Amount]])*100</f>
        <v>25.135928757926145</v>
      </c>
      <c r="M111" s="4" t="str" cm="1">
        <f t="array" ref="M111">_xlfn.IFS(Table1[[#This Row],[Sales_Amount]]&gt;200000,"High",AND(Table1[[#This Row],[Sales_Amount]]&gt;100000,Table1[[#This Row],[Sales_Amount]]&lt;200000),"Medium",Table1[[#This Row],[Sales_Amount]]&lt;100000,"Low")</f>
        <v>High</v>
      </c>
      <c r="N111" t="str">
        <f>TEXT(Table1[[#This Row],[Order_Date]],"MMMM")</f>
        <v>September</v>
      </c>
      <c r="O111">
        <f>YEAR(Table1[[#This Row],[Order_Date]])</f>
        <v>2025</v>
      </c>
    </row>
    <row r="112" spans="1:15" x14ac:dyDescent="0.3">
      <c r="A112" t="s">
        <v>143</v>
      </c>
      <c r="B112" s="1">
        <v>45931</v>
      </c>
      <c r="C112" t="s">
        <v>28</v>
      </c>
      <c r="D112" t="s">
        <v>18</v>
      </c>
      <c r="E112" t="s">
        <v>32</v>
      </c>
      <c r="F112" s="3">
        <v>5</v>
      </c>
      <c r="G112" s="4">
        <v>21686</v>
      </c>
      <c r="H112" s="4">
        <v>108430</v>
      </c>
      <c r="I112" s="4">
        <v>68828.81</v>
      </c>
      <c r="J112" s="4">
        <v>39601.19</v>
      </c>
      <c r="K112" t="s">
        <v>58</v>
      </c>
      <c r="L112" s="3">
        <f>(Table1[[#This Row],[Profit]]/Table1[[#This Row],[Sales_Amount]])*100</f>
        <v>36.522355436687263</v>
      </c>
      <c r="M112" s="4" t="str" cm="1">
        <f t="array" ref="M112">_xlfn.IFS(Table1[[#This Row],[Sales_Amount]]&gt;200000,"High",AND(Table1[[#This Row],[Sales_Amount]]&gt;100000,Table1[[#This Row],[Sales_Amount]]&lt;200000),"Medium",Table1[[#This Row],[Sales_Amount]]&lt;100000,"Low")</f>
        <v>Medium</v>
      </c>
      <c r="N112" t="str">
        <f>TEXT(Table1[[#This Row],[Order_Date]],"MMMM")</f>
        <v>October</v>
      </c>
      <c r="O112">
        <f>YEAR(Table1[[#This Row],[Order_Date]])</f>
        <v>2025</v>
      </c>
    </row>
    <row r="113" spans="1:15" x14ac:dyDescent="0.3">
      <c r="A113" t="s">
        <v>144</v>
      </c>
      <c r="B113" s="1">
        <v>45932</v>
      </c>
      <c r="C113" t="s">
        <v>28</v>
      </c>
      <c r="D113" t="s">
        <v>56</v>
      </c>
      <c r="E113" t="s">
        <v>14</v>
      </c>
      <c r="F113" s="3">
        <v>4</v>
      </c>
      <c r="G113" s="4">
        <v>34476</v>
      </c>
      <c r="H113" s="4">
        <v>137904</v>
      </c>
      <c r="I113" s="4">
        <v>97709.65</v>
      </c>
      <c r="J113" s="4">
        <v>40194.35</v>
      </c>
      <c r="K113" t="s">
        <v>15</v>
      </c>
      <c r="L113" s="3">
        <f>(Table1[[#This Row],[Profit]]/Table1[[#This Row],[Sales_Amount]])*100</f>
        <v>29.146616486831416</v>
      </c>
      <c r="M113" s="4" t="str" cm="1">
        <f t="array" ref="M113">_xlfn.IFS(Table1[[#This Row],[Sales_Amount]]&gt;200000,"High",AND(Table1[[#This Row],[Sales_Amount]]&gt;100000,Table1[[#This Row],[Sales_Amount]]&lt;200000),"Medium",Table1[[#This Row],[Sales_Amount]]&lt;100000,"Low")</f>
        <v>Medium</v>
      </c>
      <c r="N113" t="str">
        <f>TEXT(Table1[[#This Row],[Order_Date]],"MMMM")</f>
        <v>October</v>
      </c>
      <c r="O113">
        <f>YEAR(Table1[[#This Row],[Order_Date]])</f>
        <v>2025</v>
      </c>
    </row>
    <row r="114" spans="1:15" x14ac:dyDescent="0.3">
      <c r="A114" t="s">
        <v>145</v>
      </c>
      <c r="B114" s="1">
        <v>45933</v>
      </c>
      <c r="C114" t="s">
        <v>28</v>
      </c>
      <c r="D114" t="s">
        <v>56</v>
      </c>
      <c r="E114" t="s">
        <v>32</v>
      </c>
      <c r="F114" s="3">
        <v>9</v>
      </c>
      <c r="G114" s="4">
        <v>9086</v>
      </c>
      <c r="H114" s="4">
        <v>81774</v>
      </c>
      <c r="I114" s="4">
        <v>71822.25</v>
      </c>
      <c r="J114" s="4">
        <v>9951.75</v>
      </c>
      <c r="K114" t="s">
        <v>15</v>
      </c>
      <c r="L114" s="3">
        <f>(Table1[[#This Row],[Profit]]/Table1[[#This Row],[Sales_Amount]])*100</f>
        <v>12.169821703720009</v>
      </c>
      <c r="M114" s="4" t="str" cm="1">
        <f t="array" ref="M114">_xlfn.IFS(Table1[[#This Row],[Sales_Amount]]&gt;200000,"High",AND(Table1[[#This Row],[Sales_Amount]]&gt;100000,Table1[[#This Row],[Sales_Amount]]&lt;200000),"Medium",Table1[[#This Row],[Sales_Amount]]&lt;100000,"Low")</f>
        <v>Low</v>
      </c>
      <c r="N114" t="str">
        <f>TEXT(Table1[[#This Row],[Order_Date]],"MMMM")</f>
        <v>October</v>
      </c>
      <c r="O114">
        <f>YEAR(Table1[[#This Row],[Order_Date]])</f>
        <v>2025</v>
      </c>
    </row>
    <row r="115" spans="1:15" x14ac:dyDescent="0.3">
      <c r="A115" t="s">
        <v>146</v>
      </c>
      <c r="B115" s="1">
        <v>45934</v>
      </c>
      <c r="C115" t="s">
        <v>40</v>
      </c>
      <c r="D115" t="s">
        <v>18</v>
      </c>
      <c r="E115" t="s">
        <v>19</v>
      </c>
      <c r="F115" s="3">
        <v>10</v>
      </c>
      <c r="G115" s="4">
        <v>16182</v>
      </c>
      <c r="H115" s="4">
        <v>161820</v>
      </c>
      <c r="I115" s="4">
        <v>131549.12</v>
      </c>
      <c r="J115" s="4">
        <v>30270.880000000001</v>
      </c>
      <c r="K115" t="s">
        <v>58</v>
      </c>
      <c r="L115" s="3">
        <f>(Table1[[#This Row],[Profit]]/Table1[[#This Row],[Sales_Amount]])*100</f>
        <v>18.706513409961687</v>
      </c>
      <c r="M115" s="4" t="str" cm="1">
        <f t="array" ref="M115">_xlfn.IFS(Table1[[#This Row],[Sales_Amount]]&gt;200000,"High",AND(Table1[[#This Row],[Sales_Amount]]&gt;100000,Table1[[#This Row],[Sales_Amount]]&lt;200000),"Medium",Table1[[#This Row],[Sales_Amount]]&lt;100000,"Low")</f>
        <v>Medium</v>
      </c>
      <c r="N115" t="str">
        <f>TEXT(Table1[[#This Row],[Order_Date]],"MMMM")</f>
        <v>October</v>
      </c>
      <c r="O115">
        <f>YEAR(Table1[[#This Row],[Order_Date]])</f>
        <v>2025</v>
      </c>
    </row>
    <row r="116" spans="1:15" x14ac:dyDescent="0.3">
      <c r="A116" t="s">
        <v>147</v>
      </c>
      <c r="B116" s="1">
        <v>45935</v>
      </c>
      <c r="C116" t="s">
        <v>12</v>
      </c>
      <c r="D116" t="s">
        <v>56</v>
      </c>
      <c r="E116" t="s">
        <v>22</v>
      </c>
      <c r="F116" s="3">
        <v>2</v>
      </c>
      <c r="G116" s="4">
        <v>30741</v>
      </c>
      <c r="H116" s="4">
        <v>61482</v>
      </c>
      <c r="I116" s="4">
        <v>54357.36</v>
      </c>
      <c r="J116" s="4">
        <v>7124.64</v>
      </c>
      <c r="K116" t="s">
        <v>26</v>
      </c>
      <c r="L116" s="3">
        <f>(Table1[[#This Row],[Profit]]/Table1[[#This Row],[Sales_Amount]])*100</f>
        <v>11.588172147945741</v>
      </c>
      <c r="M116" s="4" t="str" cm="1">
        <f t="array" ref="M116">_xlfn.IFS(Table1[[#This Row],[Sales_Amount]]&gt;200000,"High",AND(Table1[[#This Row],[Sales_Amount]]&gt;100000,Table1[[#This Row],[Sales_Amount]]&lt;200000),"Medium",Table1[[#This Row],[Sales_Amount]]&lt;100000,"Low")</f>
        <v>Low</v>
      </c>
      <c r="N116" t="str">
        <f>TEXT(Table1[[#This Row],[Order_Date]],"MMMM")</f>
        <v>October</v>
      </c>
      <c r="O116">
        <f>YEAR(Table1[[#This Row],[Order_Date]])</f>
        <v>2025</v>
      </c>
    </row>
    <row r="117" spans="1:15" x14ac:dyDescent="0.3">
      <c r="A117" t="s">
        <v>148</v>
      </c>
      <c r="B117" s="1">
        <v>45936</v>
      </c>
      <c r="C117" t="s">
        <v>28</v>
      </c>
      <c r="D117" t="s">
        <v>51</v>
      </c>
      <c r="E117" t="s">
        <v>19</v>
      </c>
      <c r="F117" s="3">
        <v>5</v>
      </c>
      <c r="G117" s="4">
        <v>27729</v>
      </c>
      <c r="H117" s="4">
        <v>138645</v>
      </c>
      <c r="I117" s="4">
        <v>117906.09</v>
      </c>
      <c r="J117" s="4">
        <v>20738.91</v>
      </c>
      <c r="K117" t="s">
        <v>58</v>
      </c>
      <c r="L117" s="3">
        <f>(Table1[[#This Row],[Profit]]/Table1[[#This Row],[Sales_Amount]])*100</f>
        <v>14.95828194309207</v>
      </c>
      <c r="M117" s="4" t="str" cm="1">
        <f t="array" ref="M117">_xlfn.IFS(Table1[[#This Row],[Sales_Amount]]&gt;200000,"High",AND(Table1[[#This Row],[Sales_Amount]]&gt;100000,Table1[[#This Row],[Sales_Amount]]&lt;200000),"Medium",Table1[[#This Row],[Sales_Amount]]&lt;100000,"Low")</f>
        <v>Medium</v>
      </c>
      <c r="N117" t="str">
        <f>TEXT(Table1[[#This Row],[Order_Date]],"MMMM")</f>
        <v>October</v>
      </c>
      <c r="O117">
        <f>YEAR(Table1[[#This Row],[Order_Date]])</f>
        <v>2025</v>
      </c>
    </row>
    <row r="118" spans="1:15" x14ac:dyDescent="0.3">
      <c r="A118" t="s">
        <v>149</v>
      </c>
      <c r="B118" s="1">
        <v>45937</v>
      </c>
      <c r="C118" t="s">
        <v>12</v>
      </c>
      <c r="D118" t="s">
        <v>29</v>
      </c>
      <c r="E118" t="s">
        <v>22</v>
      </c>
      <c r="F118" s="3">
        <v>7</v>
      </c>
      <c r="G118" s="4">
        <v>12991</v>
      </c>
      <c r="H118" s="4">
        <v>90937</v>
      </c>
      <c r="I118" s="4">
        <v>79711.78</v>
      </c>
      <c r="J118" s="4">
        <v>11225.22</v>
      </c>
      <c r="K118" t="s">
        <v>26</v>
      </c>
      <c r="L118" s="3">
        <f>(Table1[[#This Row],[Profit]]/Table1[[#This Row],[Sales_Amount]])*100</f>
        <v>12.343952406611169</v>
      </c>
      <c r="M118" s="4" t="str" cm="1">
        <f t="array" ref="M118">_xlfn.IFS(Table1[[#This Row],[Sales_Amount]]&gt;200000,"High",AND(Table1[[#This Row],[Sales_Amount]]&gt;100000,Table1[[#This Row],[Sales_Amount]]&lt;200000),"Medium",Table1[[#This Row],[Sales_Amount]]&lt;100000,"Low")</f>
        <v>Low</v>
      </c>
      <c r="N118" t="str">
        <f>TEXT(Table1[[#This Row],[Order_Date]],"MMMM")</f>
        <v>October</v>
      </c>
      <c r="O118">
        <f>YEAR(Table1[[#This Row],[Order_Date]])</f>
        <v>2025</v>
      </c>
    </row>
    <row r="119" spans="1:15" x14ac:dyDescent="0.3">
      <c r="A119" t="s">
        <v>150</v>
      </c>
      <c r="B119" s="1">
        <v>45938</v>
      </c>
      <c r="C119" t="s">
        <v>40</v>
      </c>
      <c r="D119" t="s">
        <v>44</v>
      </c>
      <c r="E119" t="s">
        <v>32</v>
      </c>
      <c r="F119" s="3">
        <v>9</v>
      </c>
      <c r="G119" s="4">
        <v>18009</v>
      </c>
      <c r="H119" s="4">
        <v>162081</v>
      </c>
      <c r="I119" s="4">
        <v>137147.24</v>
      </c>
      <c r="J119" s="4">
        <v>24933.759999999998</v>
      </c>
      <c r="K119" t="s">
        <v>58</v>
      </c>
      <c r="L119" s="3">
        <f>(Table1[[#This Row],[Profit]]/Table1[[#This Row],[Sales_Amount]])*100</f>
        <v>15.383518117484465</v>
      </c>
      <c r="M119" s="4" t="str" cm="1">
        <f t="array" ref="M119">_xlfn.IFS(Table1[[#This Row],[Sales_Amount]]&gt;200000,"High",AND(Table1[[#This Row],[Sales_Amount]]&gt;100000,Table1[[#This Row],[Sales_Amount]]&lt;200000),"Medium",Table1[[#This Row],[Sales_Amount]]&lt;100000,"Low")</f>
        <v>Medium</v>
      </c>
      <c r="N119" t="str">
        <f>TEXT(Table1[[#This Row],[Order_Date]],"MMMM")</f>
        <v>October</v>
      </c>
      <c r="O119">
        <f>YEAR(Table1[[#This Row],[Order_Date]])</f>
        <v>2025</v>
      </c>
    </row>
    <row r="120" spans="1:15" x14ac:dyDescent="0.3">
      <c r="A120" t="s">
        <v>151</v>
      </c>
      <c r="B120" s="1">
        <v>45939</v>
      </c>
      <c r="C120" t="s">
        <v>28</v>
      </c>
      <c r="D120" t="s">
        <v>56</v>
      </c>
      <c r="E120" t="s">
        <v>37</v>
      </c>
      <c r="F120" s="3">
        <v>9</v>
      </c>
      <c r="G120" s="4">
        <v>32241</v>
      </c>
      <c r="H120" s="4">
        <v>290169</v>
      </c>
      <c r="I120" s="4">
        <v>204144.68</v>
      </c>
      <c r="J120" s="4">
        <v>86024.320000000007</v>
      </c>
      <c r="K120" t="s">
        <v>26</v>
      </c>
      <c r="L120" s="3">
        <f>(Table1[[#This Row],[Profit]]/Table1[[#This Row],[Sales_Amount]])*100</f>
        <v>29.646281994286088</v>
      </c>
      <c r="M120" s="4" t="str" cm="1">
        <f t="array" ref="M120">_xlfn.IFS(Table1[[#This Row],[Sales_Amount]]&gt;200000,"High",AND(Table1[[#This Row],[Sales_Amount]]&gt;100000,Table1[[#This Row],[Sales_Amount]]&lt;200000),"Medium",Table1[[#This Row],[Sales_Amount]]&lt;100000,"Low")</f>
        <v>High</v>
      </c>
      <c r="N120" t="str">
        <f>TEXT(Table1[[#This Row],[Order_Date]],"MMMM")</f>
        <v>October</v>
      </c>
      <c r="O120">
        <f>YEAR(Table1[[#This Row],[Order_Date]])</f>
        <v>2025</v>
      </c>
    </row>
    <row r="121" spans="1:15" x14ac:dyDescent="0.3">
      <c r="A121" t="s">
        <v>152</v>
      </c>
      <c r="B121" s="1">
        <v>45940</v>
      </c>
      <c r="C121" t="s">
        <v>28</v>
      </c>
      <c r="D121" t="s">
        <v>18</v>
      </c>
      <c r="E121" t="s">
        <v>19</v>
      </c>
      <c r="F121" s="3">
        <v>4</v>
      </c>
      <c r="G121" s="4">
        <v>37973</v>
      </c>
      <c r="H121" s="4">
        <v>151892</v>
      </c>
      <c r="I121" s="4">
        <v>108586.26</v>
      </c>
      <c r="J121" s="4">
        <v>43305.74</v>
      </c>
      <c r="K121" t="s">
        <v>26</v>
      </c>
      <c r="L121" s="3">
        <f>(Table1[[#This Row],[Profit]]/Table1[[#This Row],[Sales_Amount]])*100</f>
        <v>28.510876148842595</v>
      </c>
      <c r="M121" s="4" t="str" cm="1">
        <f t="array" ref="M121">_xlfn.IFS(Table1[[#This Row],[Sales_Amount]]&gt;200000,"High",AND(Table1[[#This Row],[Sales_Amount]]&gt;100000,Table1[[#This Row],[Sales_Amount]]&lt;200000),"Medium",Table1[[#This Row],[Sales_Amount]]&lt;100000,"Low")</f>
        <v>Medium</v>
      </c>
      <c r="N121" t="str">
        <f>TEXT(Table1[[#This Row],[Order_Date]],"MMMM")</f>
        <v>October</v>
      </c>
      <c r="O121">
        <f>YEAR(Table1[[#This Row],[Order_Date]])</f>
        <v>2025</v>
      </c>
    </row>
    <row r="122" spans="1:15" x14ac:dyDescent="0.3">
      <c r="A122" t="s">
        <v>153</v>
      </c>
      <c r="B122" s="1">
        <v>45941</v>
      </c>
      <c r="C122" t="s">
        <v>12</v>
      </c>
      <c r="D122" t="s">
        <v>56</v>
      </c>
      <c r="E122" t="s">
        <v>19</v>
      </c>
      <c r="F122" s="3">
        <v>7</v>
      </c>
      <c r="G122" s="4">
        <v>25802</v>
      </c>
      <c r="H122" s="4">
        <v>180614</v>
      </c>
      <c r="I122" s="4">
        <v>161924.82</v>
      </c>
      <c r="J122" s="4">
        <v>18689.18</v>
      </c>
      <c r="K122" t="s">
        <v>15</v>
      </c>
      <c r="L122" s="3">
        <f>(Table1[[#This Row],[Profit]]/Table1[[#This Row],[Sales_Amount]])*100</f>
        <v>10.347581029156101</v>
      </c>
      <c r="M122" s="4" t="str" cm="1">
        <f t="array" ref="M122">_xlfn.IFS(Table1[[#This Row],[Sales_Amount]]&gt;200000,"High",AND(Table1[[#This Row],[Sales_Amount]]&gt;100000,Table1[[#This Row],[Sales_Amount]]&lt;200000),"Medium",Table1[[#This Row],[Sales_Amount]]&lt;100000,"Low")</f>
        <v>Medium</v>
      </c>
      <c r="N122" t="str">
        <f>TEXT(Table1[[#This Row],[Order_Date]],"MMMM")</f>
        <v>October</v>
      </c>
      <c r="O122">
        <f>YEAR(Table1[[#This Row],[Order_Date]])</f>
        <v>2025</v>
      </c>
    </row>
    <row r="123" spans="1:15" x14ac:dyDescent="0.3">
      <c r="A123" t="s">
        <v>154</v>
      </c>
      <c r="B123" s="1">
        <v>45942</v>
      </c>
      <c r="C123" t="s">
        <v>28</v>
      </c>
      <c r="D123" t="s">
        <v>29</v>
      </c>
      <c r="E123" t="s">
        <v>25</v>
      </c>
      <c r="F123" s="3">
        <v>10</v>
      </c>
      <c r="G123" s="4">
        <v>22257</v>
      </c>
      <c r="H123" s="4">
        <v>222570</v>
      </c>
      <c r="I123" s="4">
        <v>191612.76</v>
      </c>
      <c r="J123" s="4">
        <v>30957.24</v>
      </c>
      <c r="K123" t="s">
        <v>58</v>
      </c>
      <c r="L123" s="3">
        <f>(Table1[[#This Row],[Profit]]/Table1[[#This Row],[Sales_Amount]])*100</f>
        <v>13.908990429977086</v>
      </c>
      <c r="M123" s="4" t="str" cm="1">
        <f t="array" ref="M123">_xlfn.IFS(Table1[[#This Row],[Sales_Amount]]&gt;200000,"High",AND(Table1[[#This Row],[Sales_Amount]]&gt;100000,Table1[[#This Row],[Sales_Amount]]&lt;200000),"Medium",Table1[[#This Row],[Sales_Amount]]&lt;100000,"Low")</f>
        <v>High</v>
      </c>
      <c r="N123" t="str">
        <f>TEXT(Table1[[#This Row],[Order_Date]],"MMMM")</f>
        <v>October</v>
      </c>
      <c r="O123">
        <f>YEAR(Table1[[#This Row],[Order_Date]])</f>
        <v>2025</v>
      </c>
    </row>
    <row r="124" spans="1:15" x14ac:dyDescent="0.3">
      <c r="A124" t="s">
        <v>155</v>
      </c>
      <c r="B124" s="1">
        <v>45943</v>
      </c>
      <c r="C124" t="s">
        <v>12</v>
      </c>
      <c r="D124" t="s">
        <v>29</v>
      </c>
      <c r="E124" t="s">
        <v>19</v>
      </c>
      <c r="F124" s="3">
        <v>3</v>
      </c>
      <c r="G124" s="4">
        <v>27368</v>
      </c>
      <c r="H124" s="4">
        <v>82104</v>
      </c>
      <c r="I124" s="4">
        <v>70714.52</v>
      </c>
      <c r="J124" s="4">
        <v>11389.48</v>
      </c>
      <c r="K124" t="s">
        <v>58</v>
      </c>
      <c r="L124" s="3">
        <f>(Table1[[#This Row],[Profit]]/Table1[[#This Row],[Sales_Amount]])*100</f>
        <v>13.872015979733021</v>
      </c>
      <c r="M124" s="4" t="str" cm="1">
        <f t="array" ref="M124">_xlfn.IFS(Table1[[#This Row],[Sales_Amount]]&gt;200000,"High",AND(Table1[[#This Row],[Sales_Amount]]&gt;100000,Table1[[#This Row],[Sales_Amount]]&lt;200000),"Medium",Table1[[#This Row],[Sales_Amount]]&lt;100000,"Low")</f>
        <v>Low</v>
      </c>
      <c r="N124" t="str">
        <f>TEXT(Table1[[#This Row],[Order_Date]],"MMMM")</f>
        <v>October</v>
      </c>
      <c r="O124">
        <f>YEAR(Table1[[#This Row],[Order_Date]])</f>
        <v>2025</v>
      </c>
    </row>
    <row r="125" spans="1:15" x14ac:dyDescent="0.3">
      <c r="A125" t="s">
        <v>156</v>
      </c>
      <c r="B125" s="1">
        <v>45944</v>
      </c>
      <c r="C125" t="s">
        <v>17</v>
      </c>
      <c r="D125" t="s">
        <v>34</v>
      </c>
      <c r="E125" t="s">
        <v>32</v>
      </c>
      <c r="F125" s="3">
        <v>10</v>
      </c>
      <c r="G125" s="4">
        <v>45897</v>
      </c>
      <c r="H125" s="4">
        <v>458970</v>
      </c>
      <c r="I125" s="4">
        <v>330111.88</v>
      </c>
      <c r="J125" s="4">
        <v>128858.12</v>
      </c>
      <c r="K125" t="s">
        <v>58</v>
      </c>
      <c r="L125" s="3">
        <f>(Table1[[#This Row],[Profit]]/Table1[[#This Row],[Sales_Amount]])*100</f>
        <v>28.075499487983961</v>
      </c>
      <c r="M125" s="4" t="str" cm="1">
        <f t="array" ref="M125">_xlfn.IFS(Table1[[#This Row],[Sales_Amount]]&gt;200000,"High",AND(Table1[[#This Row],[Sales_Amount]]&gt;100000,Table1[[#This Row],[Sales_Amount]]&lt;200000),"Medium",Table1[[#This Row],[Sales_Amount]]&lt;100000,"Low")</f>
        <v>High</v>
      </c>
      <c r="N125" t="str">
        <f>TEXT(Table1[[#This Row],[Order_Date]],"MMMM")</f>
        <v>October</v>
      </c>
      <c r="O125">
        <f>YEAR(Table1[[#This Row],[Order_Date]])</f>
        <v>2025</v>
      </c>
    </row>
    <row r="126" spans="1:15" x14ac:dyDescent="0.3">
      <c r="A126" t="s">
        <v>157</v>
      </c>
      <c r="B126" s="1">
        <v>45945</v>
      </c>
      <c r="C126" t="s">
        <v>17</v>
      </c>
      <c r="D126" t="s">
        <v>51</v>
      </c>
      <c r="E126" t="s">
        <v>19</v>
      </c>
      <c r="F126" s="3">
        <v>8</v>
      </c>
      <c r="G126" s="4">
        <v>35956</v>
      </c>
      <c r="H126" s="4">
        <v>287648</v>
      </c>
      <c r="I126" s="4">
        <v>175686.69</v>
      </c>
      <c r="J126" s="4">
        <v>111961.31</v>
      </c>
      <c r="K126" t="s">
        <v>26</v>
      </c>
      <c r="L126" s="3">
        <f>(Table1[[#This Row],[Profit]]/Table1[[#This Row],[Sales_Amount]])*100</f>
        <v>38.923027450216928</v>
      </c>
      <c r="M126" s="4" t="str" cm="1">
        <f t="array" ref="M126">_xlfn.IFS(Table1[[#This Row],[Sales_Amount]]&gt;200000,"High",AND(Table1[[#This Row],[Sales_Amount]]&gt;100000,Table1[[#This Row],[Sales_Amount]]&lt;200000),"Medium",Table1[[#This Row],[Sales_Amount]]&lt;100000,"Low")</f>
        <v>High</v>
      </c>
      <c r="N126" t="str">
        <f>TEXT(Table1[[#This Row],[Order_Date]],"MMMM")</f>
        <v>October</v>
      </c>
      <c r="O126">
        <f>YEAR(Table1[[#This Row],[Order_Date]])</f>
        <v>2025</v>
      </c>
    </row>
    <row r="127" spans="1:15" x14ac:dyDescent="0.3">
      <c r="A127" t="s">
        <v>158</v>
      </c>
      <c r="B127" s="1">
        <v>45946</v>
      </c>
      <c r="C127" t="s">
        <v>17</v>
      </c>
      <c r="D127" t="s">
        <v>56</v>
      </c>
      <c r="E127" t="s">
        <v>19</v>
      </c>
      <c r="F127" s="3">
        <v>2</v>
      </c>
      <c r="G127" s="4">
        <v>28940</v>
      </c>
      <c r="H127" s="4">
        <v>57880</v>
      </c>
      <c r="I127" s="4">
        <v>51715.86</v>
      </c>
      <c r="J127" s="4">
        <v>6164.14</v>
      </c>
      <c r="K127" t="s">
        <v>23</v>
      </c>
      <c r="L127" s="3">
        <f>(Table1[[#This Row],[Profit]]/Table1[[#This Row],[Sales_Amount]])*100</f>
        <v>10.649861782999309</v>
      </c>
      <c r="M127" s="4" t="str" cm="1">
        <f t="array" ref="M127">_xlfn.IFS(Table1[[#This Row],[Sales_Amount]]&gt;200000,"High",AND(Table1[[#This Row],[Sales_Amount]]&gt;100000,Table1[[#This Row],[Sales_Amount]]&lt;200000),"Medium",Table1[[#This Row],[Sales_Amount]]&lt;100000,"Low")</f>
        <v>Low</v>
      </c>
      <c r="N127" t="str">
        <f>TEXT(Table1[[#This Row],[Order_Date]],"MMMM")</f>
        <v>October</v>
      </c>
      <c r="O127">
        <f>YEAR(Table1[[#This Row],[Order_Date]])</f>
        <v>2025</v>
      </c>
    </row>
    <row r="128" spans="1:15" x14ac:dyDescent="0.3">
      <c r="A128" t="s">
        <v>159</v>
      </c>
      <c r="B128" s="1">
        <v>45947</v>
      </c>
      <c r="C128" t="s">
        <v>17</v>
      </c>
      <c r="D128" t="s">
        <v>44</v>
      </c>
      <c r="E128" t="s">
        <v>32</v>
      </c>
      <c r="F128" s="3">
        <v>1</v>
      </c>
      <c r="G128" s="4">
        <v>3514</v>
      </c>
      <c r="H128" s="4">
        <v>3514</v>
      </c>
      <c r="I128" s="4">
        <v>2450.36</v>
      </c>
      <c r="J128" s="4">
        <v>1063.6400000000001</v>
      </c>
      <c r="K128" t="s">
        <v>26</v>
      </c>
      <c r="L128" s="3">
        <f>(Table1[[#This Row],[Profit]]/Table1[[#This Row],[Sales_Amount]])*100</f>
        <v>30.268639726807063</v>
      </c>
      <c r="M128" s="4" t="str" cm="1">
        <f t="array" ref="M128">_xlfn.IFS(Table1[[#This Row],[Sales_Amount]]&gt;200000,"High",AND(Table1[[#This Row],[Sales_Amount]]&gt;100000,Table1[[#This Row],[Sales_Amount]]&lt;200000),"Medium",Table1[[#This Row],[Sales_Amount]]&lt;100000,"Low")</f>
        <v>Low</v>
      </c>
      <c r="N128" t="str">
        <f>TEXT(Table1[[#This Row],[Order_Date]],"MMMM")</f>
        <v>October</v>
      </c>
      <c r="O128">
        <f>YEAR(Table1[[#This Row],[Order_Date]])</f>
        <v>2025</v>
      </c>
    </row>
    <row r="129" spans="1:15" x14ac:dyDescent="0.3">
      <c r="A129" t="s">
        <v>160</v>
      </c>
      <c r="B129" s="1">
        <v>45948</v>
      </c>
      <c r="C129" t="s">
        <v>12</v>
      </c>
      <c r="D129" t="s">
        <v>13</v>
      </c>
      <c r="E129" t="s">
        <v>37</v>
      </c>
      <c r="F129" s="3">
        <v>3</v>
      </c>
      <c r="G129" s="4">
        <v>16503</v>
      </c>
      <c r="H129" s="4">
        <v>49509</v>
      </c>
      <c r="I129" s="4">
        <v>37594.65</v>
      </c>
      <c r="J129" s="4">
        <v>11914.35</v>
      </c>
      <c r="K129" t="s">
        <v>23</v>
      </c>
      <c r="L129" s="3">
        <f>(Table1[[#This Row],[Profit]]/Table1[[#This Row],[Sales_Amount]])*100</f>
        <v>24.065018481488217</v>
      </c>
      <c r="M129" s="4" t="str" cm="1">
        <f t="array" ref="M129">_xlfn.IFS(Table1[[#This Row],[Sales_Amount]]&gt;200000,"High",AND(Table1[[#This Row],[Sales_Amount]]&gt;100000,Table1[[#This Row],[Sales_Amount]]&lt;200000),"Medium",Table1[[#This Row],[Sales_Amount]]&lt;100000,"Low")</f>
        <v>Low</v>
      </c>
      <c r="N129" t="str">
        <f>TEXT(Table1[[#This Row],[Order_Date]],"MMMM")</f>
        <v>October</v>
      </c>
      <c r="O129">
        <f>YEAR(Table1[[#This Row],[Order_Date]])</f>
        <v>2025</v>
      </c>
    </row>
    <row r="130" spans="1:15" x14ac:dyDescent="0.3">
      <c r="A130" t="s">
        <v>161</v>
      </c>
      <c r="B130" s="1">
        <v>45949</v>
      </c>
      <c r="C130" t="s">
        <v>28</v>
      </c>
      <c r="D130" t="s">
        <v>13</v>
      </c>
      <c r="E130" t="s">
        <v>25</v>
      </c>
      <c r="F130" s="3">
        <v>7</v>
      </c>
      <c r="G130" s="4">
        <v>41113</v>
      </c>
      <c r="H130" s="4">
        <v>287791</v>
      </c>
      <c r="I130" s="4">
        <v>231654.6</v>
      </c>
      <c r="J130" s="4">
        <v>56136.4</v>
      </c>
      <c r="K130" t="s">
        <v>23</v>
      </c>
      <c r="L130" s="3">
        <f>(Table1[[#This Row],[Profit]]/Table1[[#This Row],[Sales_Amount]])*100</f>
        <v>19.505960923030948</v>
      </c>
      <c r="M130" s="4" t="str" cm="1">
        <f t="array" ref="M130">_xlfn.IFS(Table1[[#This Row],[Sales_Amount]]&gt;200000,"High",AND(Table1[[#This Row],[Sales_Amount]]&gt;100000,Table1[[#This Row],[Sales_Amount]]&lt;200000),"Medium",Table1[[#This Row],[Sales_Amount]]&lt;100000,"Low")</f>
        <v>High</v>
      </c>
      <c r="N130" t="str">
        <f>TEXT(Table1[[#This Row],[Order_Date]],"MMMM")</f>
        <v>October</v>
      </c>
      <c r="O130">
        <f>YEAR(Table1[[#This Row],[Order_Date]])</f>
        <v>2025</v>
      </c>
    </row>
    <row r="131" spans="1:15" x14ac:dyDescent="0.3">
      <c r="A131" t="s">
        <v>162</v>
      </c>
      <c r="B131" s="1">
        <v>45950</v>
      </c>
      <c r="C131" t="s">
        <v>17</v>
      </c>
      <c r="D131" t="s">
        <v>56</v>
      </c>
      <c r="E131" t="s">
        <v>19</v>
      </c>
      <c r="F131" s="3">
        <v>5</v>
      </c>
      <c r="G131" s="4">
        <v>30618</v>
      </c>
      <c r="H131" s="4">
        <v>153090</v>
      </c>
      <c r="I131" s="4">
        <v>103580.39</v>
      </c>
      <c r="J131" s="4">
        <v>49509.61</v>
      </c>
      <c r="K131" t="s">
        <v>26</v>
      </c>
      <c r="L131" s="3">
        <f>(Table1[[#This Row],[Profit]]/Table1[[#This Row],[Sales_Amount]])*100</f>
        <v>32.340198576001043</v>
      </c>
      <c r="M131" s="4" t="str" cm="1">
        <f t="array" ref="M131">_xlfn.IFS(Table1[[#This Row],[Sales_Amount]]&gt;200000,"High",AND(Table1[[#This Row],[Sales_Amount]]&gt;100000,Table1[[#This Row],[Sales_Amount]]&lt;200000),"Medium",Table1[[#This Row],[Sales_Amount]]&lt;100000,"Low")</f>
        <v>Medium</v>
      </c>
      <c r="N131" t="str">
        <f>TEXT(Table1[[#This Row],[Order_Date]],"MMMM")</f>
        <v>October</v>
      </c>
      <c r="O131">
        <f>YEAR(Table1[[#This Row],[Order_Date]])</f>
        <v>2025</v>
      </c>
    </row>
    <row r="132" spans="1:15" x14ac:dyDescent="0.3">
      <c r="A132" t="s">
        <v>163</v>
      </c>
      <c r="B132" s="1">
        <v>45951</v>
      </c>
      <c r="C132" t="s">
        <v>40</v>
      </c>
      <c r="D132" t="s">
        <v>44</v>
      </c>
      <c r="E132" t="s">
        <v>25</v>
      </c>
      <c r="F132" s="3">
        <v>3</v>
      </c>
      <c r="G132" s="4">
        <v>5340</v>
      </c>
      <c r="H132" s="4">
        <v>16020</v>
      </c>
      <c r="I132" s="4">
        <v>11734.95</v>
      </c>
      <c r="J132" s="4">
        <v>4285.05</v>
      </c>
      <c r="K132" t="s">
        <v>58</v>
      </c>
      <c r="L132" s="3">
        <f>(Table1[[#This Row],[Profit]]/Table1[[#This Row],[Sales_Amount]])*100</f>
        <v>26.748127340823974</v>
      </c>
      <c r="M132" s="4" t="str" cm="1">
        <f t="array" ref="M132">_xlfn.IFS(Table1[[#This Row],[Sales_Amount]]&gt;200000,"High",AND(Table1[[#This Row],[Sales_Amount]]&gt;100000,Table1[[#This Row],[Sales_Amount]]&lt;200000),"Medium",Table1[[#This Row],[Sales_Amount]]&lt;100000,"Low")</f>
        <v>Low</v>
      </c>
      <c r="N132" t="str">
        <f>TEXT(Table1[[#This Row],[Order_Date]],"MMMM")</f>
        <v>October</v>
      </c>
      <c r="O132">
        <f>YEAR(Table1[[#This Row],[Order_Date]])</f>
        <v>2025</v>
      </c>
    </row>
    <row r="133" spans="1:15" x14ac:dyDescent="0.3">
      <c r="A133" t="s">
        <v>164</v>
      </c>
      <c r="B133" s="1">
        <v>45952</v>
      </c>
      <c r="C133" t="s">
        <v>28</v>
      </c>
      <c r="D133" t="s">
        <v>56</v>
      </c>
      <c r="E133" t="s">
        <v>32</v>
      </c>
      <c r="F133" s="3">
        <v>8</v>
      </c>
      <c r="G133" s="4">
        <v>20299</v>
      </c>
      <c r="H133" s="4">
        <v>162392</v>
      </c>
      <c r="I133" s="4">
        <v>107140.57</v>
      </c>
      <c r="J133" s="4">
        <v>55251.43</v>
      </c>
      <c r="K133" t="s">
        <v>15</v>
      </c>
      <c r="L133" s="3">
        <f>(Table1[[#This Row],[Profit]]/Table1[[#This Row],[Sales_Amount]])*100</f>
        <v>34.023492536578161</v>
      </c>
      <c r="M133" s="4" t="str" cm="1">
        <f t="array" ref="M133">_xlfn.IFS(Table1[[#This Row],[Sales_Amount]]&gt;200000,"High",AND(Table1[[#This Row],[Sales_Amount]]&gt;100000,Table1[[#This Row],[Sales_Amount]]&lt;200000),"Medium",Table1[[#This Row],[Sales_Amount]]&lt;100000,"Low")</f>
        <v>Medium</v>
      </c>
      <c r="N133" t="str">
        <f>TEXT(Table1[[#This Row],[Order_Date]],"MMMM")</f>
        <v>October</v>
      </c>
      <c r="O133">
        <f>YEAR(Table1[[#This Row],[Order_Date]])</f>
        <v>2025</v>
      </c>
    </row>
    <row r="134" spans="1:15" x14ac:dyDescent="0.3">
      <c r="A134" t="s">
        <v>165</v>
      </c>
      <c r="B134" s="1">
        <v>45953</v>
      </c>
      <c r="C134" t="s">
        <v>40</v>
      </c>
      <c r="D134" t="s">
        <v>18</v>
      </c>
      <c r="E134" t="s">
        <v>37</v>
      </c>
      <c r="F134" s="3">
        <v>10</v>
      </c>
      <c r="G134" s="4">
        <v>24024</v>
      </c>
      <c r="H134" s="4">
        <v>240240</v>
      </c>
      <c r="I134" s="4">
        <v>185571.85</v>
      </c>
      <c r="J134" s="4">
        <v>54668.15</v>
      </c>
      <c r="K134" t="s">
        <v>58</v>
      </c>
      <c r="L134" s="3">
        <f>(Table1[[#This Row],[Profit]]/Table1[[#This Row],[Sales_Amount]])*100</f>
        <v>22.755640193140195</v>
      </c>
      <c r="M134" s="4" t="str" cm="1">
        <f t="array" ref="M134">_xlfn.IFS(Table1[[#This Row],[Sales_Amount]]&gt;200000,"High",AND(Table1[[#This Row],[Sales_Amount]]&gt;100000,Table1[[#This Row],[Sales_Amount]]&lt;200000),"Medium",Table1[[#This Row],[Sales_Amount]]&lt;100000,"Low")</f>
        <v>High</v>
      </c>
      <c r="N134" t="str">
        <f>TEXT(Table1[[#This Row],[Order_Date]],"MMMM")</f>
        <v>October</v>
      </c>
      <c r="O134">
        <f>YEAR(Table1[[#This Row],[Order_Date]])</f>
        <v>2025</v>
      </c>
    </row>
    <row r="135" spans="1:15" x14ac:dyDescent="0.3">
      <c r="A135" t="s">
        <v>166</v>
      </c>
      <c r="B135" s="1">
        <v>45954</v>
      </c>
      <c r="C135" t="s">
        <v>17</v>
      </c>
      <c r="D135" t="s">
        <v>56</v>
      </c>
      <c r="E135" t="s">
        <v>14</v>
      </c>
      <c r="F135" s="3">
        <v>10</v>
      </c>
      <c r="G135" s="4">
        <v>45444</v>
      </c>
      <c r="H135" s="4">
        <v>454440</v>
      </c>
      <c r="I135" s="4">
        <v>378772.78</v>
      </c>
      <c r="J135" s="4">
        <v>75667.22</v>
      </c>
      <c r="K135" t="s">
        <v>26</v>
      </c>
      <c r="L135" s="3">
        <f>(Table1[[#This Row],[Profit]]/Table1[[#This Row],[Sales_Amount]])*100</f>
        <v>16.650651351113456</v>
      </c>
      <c r="M135" s="4" t="str" cm="1">
        <f t="array" ref="M135">_xlfn.IFS(Table1[[#This Row],[Sales_Amount]]&gt;200000,"High",AND(Table1[[#This Row],[Sales_Amount]]&gt;100000,Table1[[#This Row],[Sales_Amount]]&lt;200000),"Medium",Table1[[#This Row],[Sales_Amount]]&lt;100000,"Low")</f>
        <v>High</v>
      </c>
      <c r="N135" t="str">
        <f>TEXT(Table1[[#This Row],[Order_Date]],"MMMM")</f>
        <v>October</v>
      </c>
      <c r="O135">
        <f>YEAR(Table1[[#This Row],[Order_Date]])</f>
        <v>2025</v>
      </c>
    </row>
    <row r="136" spans="1:15" x14ac:dyDescent="0.3">
      <c r="A136" t="s">
        <v>167</v>
      </c>
      <c r="B136" s="1">
        <v>45955</v>
      </c>
      <c r="C136" t="s">
        <v>40</v>
      </c>
      <c r="D136" t="s">
        <v>13</v>
      </c>
      <c r="E136" t="s">
        <v>25</v>
      </c>
      <c r="F136" s="3">
        <v>6</v>
      </c>
      <c r="G136" s="4">
        <v>14852</v>
      </c>
      <c r="H136" s="4">
        <v>89112</v>
      </c>
      <c r="I136" s="4">
        <v>70486.289999999994</v>
      </c>
      <c r="J136" s="4">
        <v>18625.71</v>
      </c>
      <c r="K136" t="s">
        <v>15</v>
      </c>
      <c r="L136" s="3">
        <f>(Table1[[#This Row],[Profit]]/Table1[[#This Row],[Sales_Amount]])*100</f>
        <v>20.901461082682466</v>
      </c>
      <c r="M136" s="4" t="str" cm="1">
        <f t="array" ref="M136">_xlfn.IFS(Table1[[#This Row],[Sales_Amount]]&gt;200000,"High",AND(Table1[[#This Row],[Sales_Amount]]&gt;100000,Table1[[#This Row],[Sales_Amount]]&lt;200000),"Medium",Table1[[#This Row],[Sales_Amount]]&lt;100000,"Low")</f>
        <v>Low</v>
      </c>
      <c r="N136" t="str">
        <f>TEXT(Table1[[#This Row],[Order_Date]],"MMMM")</f>
        <v>October</v>
      </c>
      <c r="O136">
        <f>YEAR(Table1[[#This Row],[Order_Date]])</f>
        <v>2025</v>
      </c>
    </row>
    <row r="137" spans="1:15" x14ac:dyDescent="0.3">
      <c r="A137" t="s">
        <v>168</v>
      </c>
      <c r="B137" s="1">
        <v>45956</v>
      </c>
      <c r="C137" t="s">
        <v>17</v>
      </c>
      <c r="D137" t="s">
        <v>34</v>
      </c>
      <c r="E137" t="s">
        <v>19</v>
      </c>
      <c r="F137" s="3">
        <v>1</v>
      </c>
      <c r="G137" s="4">
        <v>20746</v>
      </c>
      <c r="H137" s="4">
        <v>20746</v>
      </c>
      <c r="I137" s="4">
        <v>17355.75</v>
      </c>
      <c r="J137" s="4">
        <v>3390.25</v>
      </c>
      <c r="K137" t="s">
        <v>23</v>
      </c>
      <c r="L137" s="3">
        <f>(Table1[[#This Row],[Profit]]/Table1[[#This Row],[Sales_Amount]])*100</f>
        <v>16.341704424949388</v>
      </c>
      <c r="M137" s="4" t="str" cm="1">
        <f t="array" ref="M137">_xlfn.IFS(Table1[[#This Row],[Sales_Amount]]&gt;200000,"High",AND(Table1[[#This Row],[Sales_Amount]]&gt;100000,Table1[[#This Row],[Sales_Amount]]&lt;200000),"Medium",Table1[[#This Row],[Sales_Amount]]&lt;100000,"Low")</f>
        <v>Low</v>
      </c>
      <c r="N137" t="str">
        <f>TEXT(Table1[[#This Row],[Order_Date]],"MMMM")</f>
        <v>October</v>
      </c>
      <c r="O137">
        <f>YEAR(Table1[[#This Row],[Order_Date]])</f>
        <v>2025</v>
      </c>
    </row>
    <row r="138" spans="1:15" x14ac:dyDescent="0.3">
      <c r="A138" t="s">
        <v>169</v>
      </c>
      <c r="B138" s="1">
        <v>45957</v>
      </c>
      <c r="C138" t="s">
        <v>12</v>
      </c>
      <c r="D138" t="s">
        <v>13</v>
      </c>
      <c r="E138" t="s">
        <v>32</v>
      </c>
      <c r="F138" s="3">
        <v>6</v>
      </c>
      <c r="G138" s="4">
        <v>49486</v>
      </c>
      <c r="H138" s="4">
        <v>296916</v>
      </c>
      <c r="I138" s="4">
        <v>215160.45</v>
      </c>
      <c r="J138" s="4">
        <v>81755.55</v>
      </c>
      <c r="K138" t="s">
        <v>26</v>
      </c>
      <c r="L138" s="3">
        <f>(Table1[[#This Row],[Profit]]/Table1[[#This Row],[Sales_Amount]])*100</f>
        <v>27.534908863112801</v>
      </c>
      <c r="M138" s="4" t="str" cm="1">
        <f t="array" ref="M138">_xlfn.IFS(Table1[[#This Row],[Sales_Amount]]&gt;200000,"High",AND(Table1[[#This Row],[Sales_Amount]]&gt;100000,Table1[[#This Row],[Sales_Amount]]&lt;200000),"Medium",Table1[[#This Row],[Sales_Amount]]&lt;100000,"Low")</f>
        <v>High</v>
      </c>
      <c r="N138" t="str">
        <f>TEXT(Table1[[#This Row],[Order_Date]],"MMMM")</f>
        <v>October</v>
      </c>
      <c r="O138">
        <f>YEAR(Table1[[#This Row],[Order_Date]])</f>
        <v>2025</v>
      </c>
    </row>
    <row r="139" spans="1:15" x14ac:dyDescent="0.3">
      <c r="A139" t="s">
        <v>170</v>
      </c>
      <c r="B139" s="1">
        <v>45958</v>
      </c>
      <c r="C139" t="s">
        <v>28</v>
      </c>
      <c r="D139" t="s">
        <v>44</v>
      </c>
      <c r="E139" t="s">
        <v>25</v>
      </c>
      <c r="F139" s="3">
        <v>5</v>
      </c>
      <c r="G139" s="4">
        <v>11283</v>
      </c>
      <c r="H139" s="4">
        <v>56415</v>
      </c>
      <c r="I139" s="4">
        <v>38198.089999999997</v>
      </c>
      <c r="J139" s="4">
        <v>18216.91</v>
      </c>
      <c r="K139" t="s">
        <v>26</v>
      </c>
      <c r="L139" s="3">
        <f>(Table1[[#This Row],[Profit]]/Table1[[#This Row],[Sales_Amount]])*100</f>
        <v>32.290897810865907</v>
      </c>
      <c r="M139" s="4" t="str" cm="1">
        <f t="array" ref="M139">_xlfn.IFS(Table1[[#This Row],[Sales_Amount]]&gt;200000,"High",AND(Table1[[#This Row],[Sales_Amount]]&gt;100000,Table1[[#This Row],[Sales_Amount]]&lt;200000),"Medium",Table1[[#This Row],[Sales_Amount]]&lt;100000,"Low")</f>
        <v>Low</v>
      </c>
      <c r="N139" t="str">
        <f>TEXT(Table1[[#This Row],[Order_Date]],"MMMM")</f>
        <v>October</v>
      </c>
      <c r="O139">
        <f>YEAR(Table1[[#This Row],[Order_Date]])</f>
        <v>2025</v>
      </c>
    </row>
    <row r="140" spans="1:15" x14ac:dyDescent="0.3">
      <c r="A140" t="s">
        <v>171</v>
      </c>
      <c r="B140" s="1">
        <v>45959</v>
      </c>
      <c r="C140" t="s">
        <v>12</v>
      </c>
      <c r="D140" t="s">
        <v>21</v>
      </c>
      <c r="E140" t="s">
        <v>37</v>
      </c>
      <c r="F140" s="3">
        <v>2</v>
      </c>
      <c r="G140" s="4">
        <v>9724</v>
      </c>
      <c r="H140" s="4">
        <v>19448</v>
      </c>
      <c r="I140" s="4">
        <v>16068.82</v>
      </c>
      <c r="J140" s="4">
        <v>3379.18</v>
      </c>
      <c r="K140" t="s">
        <v>26</v>
      </c>
      <c r="L140" s="3">
        <f>(Table1[[#This Row],[Profit]]/Table1[[#This Row],[Sales_Amount]])*100</f>
        <v>17.375462772521598</v>
      </c>
      <c r="M140" s="4" t="str" cm="1">
        <f t="array" ref="M140">_xlfn.IFS(Table1[[#This Row],[Sales_Amount]]&gt;200000,"High",AND(Table1[[#This Row],[Sales_Amount]]&gt;100000,Table1[[#This Row],[Sales_Amount]]&lt;200000),"Medium",Table1[[#This Row],[Sales_Amount]]&lt;100000,"Low")</f>
        <v>Low</v>
      </c>
      <c r="N140" t="str">
        <f>TEXT(Table1[[#This Row],[Order_Date]],"MMMM")</f>
        <v>October</v>
      </c>
      <c r="O140">
        <f>YEAR(Table1[[#This Row],[Order_Date]])</f>
        <v>2025</v>
      </c>
    </row>
    <row r="141" spans="1:15" x14ac:dyDescent="0.3">
      <c r="A141" t="s">
        <v>172</v>
      </c>
      <c r="B141" s="1">
        <v>45960</v>
      </c>
      <c r="C141" t="s">
        <v>28</v>
      </c>
      <c r="D141" t="s">
        <v>34</v>
      </c>
      <c r="E141" t="s">
        <v>37</v>
      </c>
      <c r="F141" s="3">
        <v>1</v>
      </c>
      <c r="G141" s="4">
        <v>17831</v>
      </c>
      <c r="H141" s="4">
        <v>17831</v>
      </c>
      <c r="I141" s="4">
        <v>13568.89</v>
      </c>
      <c r="J141" s="4">
        <v>4262.1099999999997</v>
      </c>
      <c r="K141" t="s">
        <v>26</v>
      </c>
      <c r="L141" s="3">
        <f>(Table1[[#This Row],[Profit]]/Table1[[#This Row],[Sales_Amount]])*100</f>
        <v>23.902809713420446</v>
      </c>
      <c r="M141" s="4" t="str" cm="1">
        <f t="array" ref="M141">_xlfn.IFS(Table1[[#This Row],[Sales_Amount]]&gt;200000,"High",AND(Table1[[#This Row],[Sales_Amount]]&gt;100000,Table1[[#This Row],[Sales_Amount]]&lt;200000),"Medium",Table1[[#This Row],[Sales_Amount]]&lt;100000,"Low")</f>
        <v>Low</v>
      </c>
      <c r="N141" t="str">
        <f>TEXT(Table1[[#This Row],[Order_Date]],"MMMM")</f>
        <v>October</v>
      </c>
      <c r="O141">
        <f>YEAR(Table1[[#This Row],[Order_Date]])</f>
        <v>2025</v>
      </c>
    </row>
    <row r="142" spans="1:15" x14ac:dyDescent="0.3">
      <c r="A142" t="s">
        <v>173</v>
      </c>
      <c r="B142" s="1">
        <v>45961</v>
      </c>
      <c r="C142" t="s">
        <v>28</v>
      </c>
      <c r="D142" t="s">
        <v>18</v>
      </c>
      <c r="E142" t="s">
        <v>37</v>
      </c>
      <c r="F142" s="3">
        <v>6</v>
      </c>
      <c r="G142" s="4">
        <v>7600</v>
      </c>
      <c r="H142" s="4">
        <v>45600</v>
      </c>
      <c r="I142" s="4">
        <v>36591.760000000002</v>
      </c>
      <c r="J142" s="4">
        <v>9008.24</v>
      </c>
      <c r="K142" t="s">
        <v>26</v>
      </c>
      <c r="L142" s="3">
        <f>(Table1[[#This Row],[Profit]]/Table1[[#This Row],[Sales_Amount]])*100</f>
        <v>19.754912280701753</v>
      </c>
      <c r="M142" s="4" t="str" cm="1">
        <f t="array" ref="M142">_xlfn.IFS(Table1[[#This Row],[Sales_Amount]]&gt;200000,"High",AND(Table1[[#This Row],[Sales_Amount]]&gt;100000,Table1[[#This Row],[Sales_Amount]]&lt;200000),"Medium",Table1[[#This Row],[Sales_Amount]]&lt;100000,"Low")</f>
        <v>Low</v>
      </c>
      <c r="N142" t="str">
        <f>TEXT(Table1[[#This Row],[Order_Date]],"MMMM")</f>
        <v>October</v>
      </c>
      <c r="O142">
        <f>YEAR(Table1[[#This Row],[Order_Date]])</f>
        <v>2025</v>
      </c>
    </row>
    <row r="143" spans="1:15" x14ac:dyDescent="0.3">
      <c r="A143" t="s">
        <v>174</v>
      </c>
      <c r="B143" s="1">
        <v>45962</v>
      </c>
      <c r="C143" t="s">
        <v>40</v>
      </c>
      <c r="D143" t="s">
        <v>21</v>
      </c>
      <c r="E143" t="s">
        <v>22</v>
      </c>
      <c r="F143" s="3">
        <v>2</v>
      </c>
      <c r="G143" s="4">
        <v>42141</v>
      </c>
      <c r="H143" s="4">
        <v>84282</v>
      </c>
      <c r="I143" s="4">
        <v>71400.05</v>
      </c>
      <c r="J143" s="4">
        <v>12881.95</v>
      </c>
      <c r="K143" t="s">
        <v>15</v>
      </c>
      <c r="L143" s="3">
        <f>(Table1[[#This Row],[Profit]]/Table1[[#This Row],[Sales_Amount]])*100</f>
        <v>15.28434303884578</v>
      </c>
      <c r="M143" s="4" t="str" cm="1">
        <f t="array" ref="M143">_xlfn.IFS(Table1[[#This Row],[Sales_Amount]]&gt;200000,"High",AND(Table1[[#This Row],[Sales_Amount]]&gt;100000,Table1[[#This Row],[Sales_Amount]]&lt;200000),"Medium",Table1[[#This Row],[Sales_Amount]]&lt;100000,"Low")</f>
        <v>Low</v>
      </c>
      <c r="N143" t="str">
        <f>TEXT(Table1[[#This Row],[Order_Date]],"MMMM")</f>
        <v>November</v>
      </c>
      <c r="O143">
        <f>YEAR(Table1[[#This Row],[Order_Date]])</f>
        <v>2025</v>
      </c>
    </row>
    <row r="144" spans="1:15" x14ac:dyDescent="0.3">
      <c r="A144" t="s">
        <v>175</v>
      </c>
      <c r="B144" s="1">
        <v>45963</v>
      </c>
      <c r="C144" t="s">
        <v>17</v>
      </c>
      <c r="D144" t="s">
        <v>29</v>
      </c>
      <c r="E144" t="s">
        <v>14</v>
      </c>
      <c r="F144" s="3">
        <v>1</v>
      </c>
      <c r="G144" s="4">
        <v>20446</v>
      </c>
      <c r="H144" s="4">
        <v>20446</v>
      </c>
      <c r="I144" s="4">
        <v>18376.419999999998</v>
      </c>
      <c r="J144" s="4">
        <v>2069.58</v>
      </c>
      <c r="K144" t="s">
        <v>23</v>
      </c>
      <c r="L144" s="3">
        <f>(Table1[[#This Row],[Profit]]/Table1[[#This Row],[Sales_Amount]])*100</f>
        <v>10.122175486647755</v>
      </c>
      <c r="M144" s="4" t="str" cm="1">
        <f t="array" ref="M144">_xlfn.IFS(Table1[[#This Row],[Sales_Amount]]&gt;200000,"High",AND(Table1[[#This Row],[Sales_Amount]]&gt;100000,Table1[[#This Row],[Sales_Amount]]&lt;200000),"Medium",Table1[[#This Row],[Sales_Amount]]&lt;100000,"Low")</f>
        <v>Low</v>
      </c>
      <c r="N144" t="str">
        <f>TEXT(Table1[[#This Row],[Order_Date]],"MMMM")</f>
        <v>November</v>
      </c>
      <c r="O144">
        <f>YEAR(Table1[[#This Row],[Order_Date]])</f>
        <v>2025</v>
      </c>
    </row>
    <row r="145" spans="1:15" x14ac:dyDescent="0.3">
      <c r="A145" t="s">
        <v>176</v>
      </c>
      <c r="B145" s="1">
        <v>45964</v>
      </c>
      <c r="C145" t="s">
        <v>28</v>
      </c>
      <c r="D145" t="s">
        <v>13</v>
      </c>
      <c r="E145" t="s">
        <v>22</v>
      </c>
      <c r="F145" s="3">
        <v>7</v>
      </c>
      <c r="G145" s="4">
        <v>30229</v>
      </c>
      <c r="H145" s="4">
        <v>211603</v>
      </c>
      <c r="I145" s="4">
        <v>150513.94</v>
      </c>
      <c r="J145" s="4">
        <v>61089.06</v>
      </c>
      <c r="K145" t="s">
        <v>58</v>
      </c>
      <c r="L145" s="3">
        <f>(Table1[[#This Row],[Profit]]/Table1[[#This Row],[Sales_Amount]])*100</f>
        <v>28.869656857416953</v>
      </c>
      <c r="M145" s="4" t="str" cm="1">
        <f t="array" ref="M145">_xlfn.IFS(Table1[[#This Row],[Sales_Amount]]&gt;200000,"High",AND(Table1[[#This Row],[Sales_Amount]]&gt;100000,Table1[[#This Row],[Sales_Amount]]&lt;200000),"Medium",Table1[[#This Row],[Sales_Amount]]&lt;100000,"Low")</f>
        <v>High</v>
      </c>
      <c r="N145" t="str">
        <f>TEXT(Table1[[#This Row],[Order_Date]],"MMMM")</f>
        <v>November</v>
      </c>
      <c r="O145">
        <f>YEAR(Table1[[#This Row],[Order_Date]])</f>
        <v>2025</v>
      </c>
    </row>
    <row r="146" spans="1:15" x14ac:dyDescent="0.3">
      <c r="A146" t="s">
        <v>177</v>
      </c>
      <c r="B146" s="1">
        <v>45965</v>
      </c>
      <c r="C146" t="s">
        <v>40</v>
      </c>
      <c r="D146" t="s">
        <v>18</v>
      </c>
      <c r="E146" t="s">
        <v>14</v>
      </c>
      <c r="F146" s="3">
        <v>8</v>
      </c>
      <c r="G146" s="4">
        <v>40847</v>
      </c>
      <c r="H146" s="4">
        <v>326776</v>
      </c>
      <c r="I146" s="4">
        <v>236074.34</v>
      </c>
      <c r="J146" s="4">
        <v>90701.66</v>
      </c>
      <c r="K146" t="s">
        <v>26</v>
      </c>
      <c r="L146" s="3">
        <f>(Table1[[#This Row],[Profit]]/Table1[[#This Row],[Sales_Amount]])*100</f>
        <v>27.756524346953267</v>
      </c>
      <c r="M146" s="4" t="str" cm="1">
        <f t="array" ref="M146">_xlfn.IFS(Table1[[#This Row],[Sales_Amount]]&gt;200000,"High",AND(Table1[[#This Row],[Sales_Amount]]&gt;100000,Table1[[#This Row],[Sales_Amount]]&lt;200000),"Medium",Table1[[#This Row],[Sales_Amount]]&lt;100000,"Low")</f>
        <v>High</v>
      </c>
      <c r="N146" t="str">
        <f>TEXT(Table1[[#This Row],[Order_Date]],"MMMM")</f>
        <v>November</v>
      </c>
      <c r="O146">
        <f>YEAR(Table1[[#This Row],[Order_Date]])</f>
        <v>2025</v>
      </c>
    </row>
    <row r="147" spans="1:15" x14ac:dyDescent="0.3">
      <c r="A147" t="s">
        <v>178</v>
      </c>
      <c r="B147" s="1">
        <v>45966</v>
      </c>
      <c r="C147" t="s">
        <v>17</v>
      </c>
      <c r="D147" t="s">
        <v>34</v>
      </c>
      <c r="E147" t="s">
        <v>37</v>
      </c>
      <c r="F147" s="3">
        <v>8</v>
      </c>
      <c r="G147" s="4">
        <v>15973</v>
      </c>
      <c r="H147" s="4">
        <v>127784</v>
      </c>
      <c r="I147" s="4">
        <v>109464.25</v>
      </c>
      <c r="J147" s="4">
        <v>18319.75</v>
      </c>
      <c r="K147" t="s">
        <v>26</v>
      </c>
      <c r="L147" s="3">
        <f>(Table1[[#This Row],[Profit]]/Table1[[#This Row],[Sales_Amount]])*100</f>
        <v>14.336497527076942</v>
      </c>
      <c r="M147" s="4" t="str" cm="1">
        <f t="array" ref="M147">_xlfn.IFS(Table1[[#This Row],[Sales_Amount]]&gt;200000,"High",AND(Table1[[#This Row],[Sales_Amount]]&gt;100000,Table1[[#This Row],[Sales_Amount]]&lt;200000),"Medium",Table1[[#This Row],[Sales_Amount]]&lt;100000,"Low")</f>
        <v>Medium</v>
      </c>
      <c r="N147" t="str">
        <f>TEXT(Table1[[#This Row],[Order_Date]],"MMMM")</f>
        <v>November</v>
      </c>
      <c r="O147">
        <f>YEAR(Table1[[#This Row],[Order_Date]])</f>
        <v>2025</v>
      </c>
    </row>
    <row r="148" spans="1:15" x14ac:dyDescent="0.3">
      <c r="A148" t="s">
        <v>179</v>
      </c>
      <c r="B148" s="1">
        <v>45967</v>
      </c>
      <c r="C148" t="s">
        <v>28</v>
      </c>
      <c r="D148" t="s">
        <v>29</v>
      </c>
      <c r="E148" t="s">
        <v>37</v>
      </c>
      <c r="F148" s="3">
        <v>5</v>
      </c>
      <c r="G148" s="4">
        <v>12939</v>
      </c>
      <c r="H148" s="4">
        <v>64695</v>
      </c>
      <c r="I148" s="4">
        <v>57608.44</v>
      </c>
      <c r="J148" s="4">
        <v>7086.56</v>
      </c>
      <c r="K148" t="s">
        <v>23</v>
      </c>
      <c r="L148" s="3">
        <f>(Table1[[#This Row],[Profit]]/Table1[[#This Row],[Sales_Amount]])*100</f>
        <v>10.953798593399799</v>
      </c>
      <c r="M148" s="4" t="str" cm="1">
        <f t="array" ref="M148">_xlfn.IFS(Table1[[#This Row],[Sales_Amount]]&gt;200000,"High",AND(Table1[[#This Row],[Sales_Amount]]&gt;100000,Table1[[#This Row],[Sales_Amount]]&lt;200000),"Medium",Table1[[#This Row],[Sales_Amount]]&lt;100000,"Low")</f>
        <v>Low</v>
      </c>
      <c r="N148" t="str">
        <f>TEXT(Table1[[#This Row],[Order_Date]],"MMMM")</f>
        <v>November</v>
      </c>
      <c r="O148">
        <f>YEAR(Table1[[#This Row],[Order_Date]])</f>
        <v>2025</v>
      </c>
    </row>
    <row r="149" spans="1:15" x14ac:dyDescent="0.3">
      <c r="A149" t="s">
        <v>180</v>
      </c>
      <c r="B149" s="1">
        <v>45968</v>
      </c>
      <c r="C149" t="s">
        <v>40</v>
      </c>
      <c r="D149" t="s">
        <v>51</v>
      </c>
      <c r="E149" t="s">
        <v>19</v>
      </c>
      <c r="F149" s="3">
        <v>10</v>
      </c>
      <c r="G149" s="4">
        <v>1899</v>
      </c>
      <c r="H149" s="4">
        <v>18990</v>
      </c>
      <c r="I149" s="4">
        <v>11682.15</v>
      </c>
      <c r="J149" s="4">
        <v>7307.85</v>
      </c>
      <c r="K149" t="s">
        <v>23</v>
      </c>
      <c r="L149" s="3">
        <f>(Table1[[#This Row],[Profit]]/Table1[[#This Row],[Sales_Amount]])*100</f>
        <v>38.482622432859401</v>
      </c>
      <c r="M149" s="4" t="str" cm="1">
        <f t="array" ref="M149">_xlfn.IFS(Table1[[#This Row],[Sales_Amount]]&gt;200000,"High",AND(Table1[[#This Row],[Sales_Amount]]&gt;100000,Table1[[#This Row],[Sales_Amount]]&lt;200000),"Medium",Table1[[#This Row],[Sales_Amount]]&lt;100000,"Low")</f>
        <v>Low</v>
      </c>
      <c r="N149" t="str">
        <f>TEXT(Table1[[#This Row],[Order_Date]],"MMMM")</f>
        <v>November</v>
      </c>
      <c r="O149">
        <f>YEAR(Table1[[#This Row],[Order_Date]])</f>
        <v>2025</v>
      </c>
    </row>
    <row r="150" spans="1:15" x14ac:dyDescent="0.3">
      <c r="A150" t="s">
        <v>181</v>
      </c>
      <c r="B150" s="1">
        <v>45969</v>
      </c>
      <c r="C150" t="s">
        <v>12</v>
      </c>
      <c r="D150" t="s">
        <v>51</v>
      </c>
      <c r="E150" t="s">
        <v>22</v>
      </c>
      <c r="F150" s="3">
        <v>2</v>
      </c>
      <c r="G150" s="4">
        <v>36820</v>
      </c>
      <c r="H150" s="4">
        <v>73640</v>
      </c>
      <c r="I150" s="4">
        <v>48760.52</v>
      </c>
      <c r="J150" s="4">
        <v>24879.48</v>
      </c>
      <c r="K150" t="s">
        <v>26</v>
      </c>
      <c r="L150" s="3">
        <f>(Table1[[#This Row],[Profit]]/Table1[[#This Row],[Sales_Amount]])*100</f>
        <v>33.785279739272134</v>
      </c>
      <c r="M150" s="4" t="str" cm="1">
        <f t="array" ref="M150">_xlfn.IFS(Table1[[#This Row],[Sales_Amount]]&gt;200000,"High",AND(Table1[[#This Row],[Sales_Amount]]&gt;100000,Table1[[#This Row],[Sales_Amount]]&lt;200000),"Medium",Table1[[#This Row],[Sales_Amount]]&lt;100000,"Low")</f>
        <v>Low</v>
      </c>
      <c r="N150" t="str">
        <f>TEXT(Table1[[#This Row],[Order_Date]],"MMMM")</f>
        <v>November</v>
      </c>
      <c r="O150">
        <f>YEAR(Table1[[#This Row],[Order_Date]])</f>
        <v>2025</v>
      </c>
    </row>
    <row r="151" spans="1:15" x14ac:dyDescent="0.3">
      <c r="A151" t="s">
        <v>182</v>
      </c>
      <c r="B151" s="1">
        <v>45970</v>
      </c>
      <c r="C151" t="s">
        <v>12</v>
      </c>
      <c r="D151" t="s">
        <v>13</v>
      </c>
      <c r="E151" t="s">
        <v>25</v>
      </c>
      <c r="F151" s="3">
        <v>1</v>
      </c>
      <c r="G151" s="4">
        <v>18671</v>
      </c>
      <c r="H151" s="4">
        <v>18671</v>
      </c>
      <c r="I151" s="4">
        <v>16010.79</v>
      </c>
      <c r="J151" s="4">
        <v>2660.21</v>
      </c>
      <c r="K151" t="s">
        <v>26</v>
      </c>
      <c r="L151" s="3">
        <f>(Table1[[#This Row],[Profit]]/Table1[[#This Row],[Sales_Amount]])*100</f>
        <v>14.247817470944247</v>
      </c>
      <c r="M151" s="4" t="str" cm="1">
        <f t="array" ref="M151">_xlfn.IFS(Table1[[#This Row],[Sales_Amount]]&gt;200000,"High",AND(Table1[[#This Row],[Sales_Amount]]&gt;100000,Table1[[#This Row],[Sales_Amount]]&lt;200000),"Medium",Table1[[#This Row],[Sales_Amount]]&lt;100000,"Low")</f>
        <v>Low</v>
      </c>
      <c r="N151" t="str">
        <f>TEXT(Table1[[#This Row],[Order_Date]],"MMMM")</f>
        <v>November</v>
      </c>
      <c r="O151">
        <f>YEAR(Table1[[#This Row],[Order_Date]])</f>
        <v>2025</v>
      </c>
    </row>
    <row r="152" spans="1:15" x14ac:dyDescent="0.3">
      <c r="A152" t="s">
        <v>183</v>
      </c>
      <c r="B152" s="1">
        <v>45971</v>
      </c>
      <c r="C152" t="s">
        <v>12</v>
      </c>
      <c r="D152" t="s">
        <v>34</v>
      </c>
      <c r="E152" t="s">
        <v>14</v>
      </c>
      <c r="F152" s="3">
        <v>1</v>
      </c>
      <c r="G152" s="4">
        <v>9137</v>
      </c>
      <c r="H152" s="4">
        <v>9137</v>
      </c>
      <c r="I152" s="4">
        <v>5522.93</v>
      </c>
      <c r="J152" s="4">
        <v>3614.07</v>
      </c>
      <c r="K152" t="s">
        <v>15</v>
      </c>
      <c r="L152" s="3">
        <f>(Table1[[#This Row],[Profit]]/Table1[[#This Row],[Sales_Amount]])*100</f>
        <v>39.55423005362811</v>
      </c>
      <c r="M152" s="4" t="str" cm="1">
        <f t="array" ref="M152">_xlfn.IFS(Table1[[#This Row],[Sales_Amount]]&gt;200000,"High",AND(Table1[[#This Row],[Sales_Amount]]&gt;100000,Table1[[#This Row],[Sales_Amount]]&lt;200000),"Medium",Table1[[#This Row],[Sales_Amount]]&lt;100000,"Low")</f>
        <v>Low</v>
      </c>
      <c r="N152" t="str">
        <f>TEXT(Table1[[#This Row],[Order_Date]],"MMMM")</f>
        <v>November</v>
      </c>
      <c r="O152">
        <f>YEAR(Table1[[#This Row],[Order_Date]])</f>
        <v>2025</v>
      </c>
    </row>
    <row r="153" spans="1:15" x14ac:dyDescent="0.3">
      <c r="A153" t="s">
        <v>184</v>
      </c>
      <c r="B153" s="1">
        <v>45972</v>
      </c>
      <c r="C153" t="s">
        <v>17</v>
      </c>
      <c r="D153" t="s">
        <v>29</v>
      </c>
      <c r="E153" t="s">
        <v>32</v>
      </c>
      <c r="F153" s="3">
        <v>1</v>
      </c>
      <c r="G153" s="4">
        <v>8807</v>
      </c>
      <c r="H153" s="4">
        <v>8807</v>
      </c>
      <c r="I153" s="4">
        <v>7243.89</v>
      </c>
      <c r="J153" s="4">
        <v>1563.11</v>
      </c>
      <c r="K153" t="s">
        <v>58</v>
      </c>
      <c r="L153" s="3">
        <f>(Table1[[#This Row],[Profit]]/Table1[[#This Row],[Sales_Amount]])*100</f>
        <v>17.748495514931303</v>
      </c>
      <c r="M153" s="4" t="str" cm="1">
        <f t="array" ref="M153">_xlfn.IFS(Table1[[#This Row],[Sales_Amount]]&gt;200000,"High",AND(Table1[[#This Row],[Sales_Amount]]&gt;100000,Table1[[#This Row],[Sales_Amount]]&lt;200000),"Medium",Table1[[#This Row],[Sales_Amount]]&lt;100000,"Low")</f>
        <v>Low</v>
      </c>
      <c r="N153" t="str">
        <f>TEXT(Table1[[#This Row],[Order_Date]],"MMMM")</f>
        <v>November</v>
      </c>
      <c r="O153">
        <f>YEAR(Table1[[#This Row],[Order_Date]])</f>
        <v>2025</v>
      </c>
    </row>
    <row r="154" spans="1:15" x14ac:dyDescent="0.3">
      <c r="A154" t="s">
        <v>185</v>
      </c>
      <c r="B154" s="1">
        <v>45973</v>
      </c>
      <c r="C154" t="s">
        <v>12</v>
      </c>
      <c r="D154" t="s">
        <v>18</v>
      </c>
      <c r="E154" t="s">
        <v>32</v>
      </c>
      <c r="F154" s="3">
        <v>9</v>
      </c>
      <c r="G154" s="4">
        <v>39406</v>
      </c>
      <c r="H154" s="4">
        <v>354654</v>
      </c>
      <c r="I154" s="4">
        <v>224395.33</v>
      </c>
      <c r="J154" s="4">
        <v>130258.67</v>
      </c>
      <c r="K154" t="s">
        <v>26</v>
      </c>
      <c r="L154" s="3">
        <f>(Table1[[#This Row],[Profit]]/Table1[[#This Row],[Sales_Amount]])*100</f>
        <v>36.728380336891732</v>
      </c>
      <c r="M154" s="4" t="str" cm="1">
        <f t="array" ref="M154">_xlfn.IFS(Table1[[#This Row],[Sales_Amount]]&gt;200000,"High",AND(Table1[[#This Row],[Sales_Amount]]&gt;100000,Table1[[#This Row],[Sales_Amount]]&lt;200000),"Medium",Table1[[#This Row],[Sales_Amount]]&lt;100000,"Low")</f>
        <v>High</v>
      </c>
      <c r="N154" t="str">
        <f>TEXT(Table1[[#This Row],[Order_Date]],"MMMM")</f>
        <v>November</v>
      </c>
      <c r="O154">
        <f>YEAR(Table1[[#This Row],[Order_Date]])</f>
        <v>2025</v>
      </c>
    </row>
    <row r="155" spans="1:15" x14ac:dyDescent="0.3">
      <c r="A155" t="s">
        <v>186</v>
      </c>
      <c r="B155" s="1">
        <v>45974</v>
      </c>
      <c r="C155" t="s">
        <v>28</v>
      </c>
      <c r="D155" t="s">
        <v>21</v>
      </c>
      <c r="E155" t="s">
        <v>19</v>
      </c>
      <c r="F155" s="3">
        <v>1</v>
      </c>
      <c r="G155" s="4">
        <v>4486</v>
      </c>
      <c r="H155" s="4">
        <v>4486</v>
      </c>
      <c r="I155" s="4">
        <v>4035.5</v>
      </c>
      <c r="J155" s="4">
        <v>450.5</v>
      </c>
      <c r="K155" t="s">
        <v>15</v>
      </c>
      <c r="L155" s="3">
        <f>(Table1[[#This Row],[Profit]]/Table1[[#This Row],[Sales_Amount]])*100</f>
        <v>10.042353990191707</v>
      </c>
      <c r="M155" s="4" t="str" cm="1">
        <f t="array" ref="M155">_xlfn.IFS(Table1[[#This Row],[Sales_Amount]]&gt;200000,"High",AND(Table1[[#This Row],[Sales_Amount]]&gt;100000,Table1[[#This Row],[Sales_Amount]]&lt;200000),"Medium",Table1[[#This Row],[Sales_Amount]]&lt;100000,"Low")</f>
        <v>Low</v>
      </c>
      <c r="N155" t="str">
        <f>TEXT(Table1[[#This Row],[Order_Date]],"MMMM")</f>
        <v>November</v>
      </c>
      <c r="O155">
        <f>YEAR(Table1[[#This Row],[Order_Date]])</f>
        <v>2025</v>
      </c>
    </row>
    <row r="156" spans="1:15" x14ac:dyDescent="0.3">
      <c r="A156" t="s">
        <v>187</v>
      </c>
      <c r="B156" s="1">
        <v>45975</v>
      </c>
      <c r="C156" t="s">
        <v>40</v>
      </c>
      <c r="D156" t="s">
        <v>13</v>
      </c>
      <c r="E156" t="s">
        <v>19</v>
      </c>
      <c r="F156" s="3">
        <v>8</v>
      </c>
      <c r="G156" s="4">
        <v>5316</v>
      </c>
      <c r="H156" s="4">
        <v>42528</v>
      </c>
      <c r="I156" s="4">
        <v>36990.01</v>
      </c>
      <c r="J156" s="4">
        <v>5537.99</v>
      </c>
      <c r="K156" t="s">
        <v>15</v>
      </c>
      <c r="L156" s="3">
        <f>(Table1[[#This Row],[Profit]]/Table1[[#This Row],[Sales_Amount]])*100</f>
        <v>13.021985515425131</v>
      </c>
      <c r="M156" s="4" t="str" cm="1">
        <f t="array" ref="M156">_xlfn.IFS(Table1[[#This Row],[Sales_Amount]]&gt;200000,"High",AND(Table1[[#This Row],[Sales_Amount]]&gt;100000,Table1[[#This Row],[Sales_Amount]]&lt;200000),"Medium",Table1[[#This Row],[Sales_Amount]]&lt;100000,"Low")</f>
        <v>Low</v>
      </c>
      <c r="N156" t="str">
        <f>TEXT(Table1[[#This Row],[Order_Date]],"MMMM")</f>
        <v>November</v>
      </c>
      <c r="O156">
        <f>YEAR(Table1[[#This Row],[Order_Date]])</f>
        <v>2025</v>
      </c>
    </row>
    <row r="157" spans="1:15" x14ac:dyDescent="0.3">
      <c r="A157" t="s">
        <v>188</v>
      </c>
      <c r="B157" s="1">
        <v>45976</v>
      </c>
      <c r="C157" t="s">
        <v>40</v>
      </c>
      <c r="D157" t="s">
        <v>21</v>
      </c>
      <c r="E157" t="s">
        <v>32</v>
      </c>
      <c r="F157" s="3">
        <v>10</v>
      </c>
      <c r="G157" s="4">
        <v>41989</v>
      </c>
      <c r="H157" s="4">
        <v>419890</v>
      </c>
      <c r="I157" s="4">
        <v>325670.63</v>
      </c>
      <c r="J157" s="4">
        <v>94219.37</v>
      </c>
      <c r="K157" t="s">
        <v>26</v>
      </c>
      <c r="L157" s="3">
        <f>(Table1[[#This Row],[Profit]]/Table1[[#This Row],[Sales_Amount]])*100</f>
        <v>22.439060230060253</v>
      </c>
      <c r="M157" s="4" t="str" cm="1">
        <f t="array" ref="M157">_xlfn.IFS(Table1[[#This Row],[Sales_Amount]]&gt;200000,"High",AND(Table1[[#This Row],[Sales_Amount]]&gt;100000,Table1[[#This Row],[Sales_Amount]]&lt;200000),"Medium",Table1[[#This Row],[Sales_Amount]]&lt;100000,"Low")</f>
        <v>High</v>
      </c>
      <c r="N157" t="str">
        <f>TEXT(Table1[[#This Row],[Order_Date]],"MMMM")</f>
        <v>November</v>
      </c>
      <c r="O157">
        <f>YEAR(Table1[[#This Row],[Order_Date]])</f>
        <v>2025</v>
      </c>
    </row>
    <row r="158" spans="1:15" x14ac:dyDescent="0.3">
      <c r="A158" t="s">
        <v>189</v>
      </c>
      <c r="B158" s="1">
        <v>45977</v>
      </c>
      <c r="C158" t="s">
        <v>17</v>
      </c>
      <c r="D158" t="s">
        <v>51</v>
      </c>
      <c r="E158" t="s">
        <v>25</v>
      </c>
      <c r="F158" s="3">
        <v>10</v>
      </c>
      <c r="G158" s="4">
        <v>28693</v>
      </c>
      <c r="H158" s="4">
        <v>286930</v>
      </c>
      <c r="I158" s="4">
        <v>180695.18</v>
      </c>
      <c r="J158" s="4">
        <v>106234.82</v>
      </c>
      <c r="K158" t="s">
        <v>58</v>
      </c>
      <c r="L158" s="3">
        <f>(Table1[[#This Row],[Profit]]/Table1[[#This Row],[Sales_Amount]])*100</f>
        <v>37.024647126476843</v>
      </c>
      <c r="M158" s="4" t="str" cm="1">
        <f t="array" ref="M158">_xlfn.IFS(Table1[[#This Row],[Sales_Amount]]&gt;200000,"High",AND(Table1[[#This Row],[Sales_Amount]]&gt;100000,Table1[[#This Row],[Sales_Amount]]&lt;200000),"Medium",Table1[[#This Row],[Sales_Amount]]&lt;100000,"Low")</f>
        <v>High</v>
      </c>
      <c r="N158" t="str">
        <f>TEXT(Table1[[#This Row],[Order_Date]],"MMMM")</f>
        <v>November</v>
      </c>
      <c r="O158">
        <f>YEAR(Table1[[#This Row],[Order_Date]])</f>
        <v>2025</v>
      </c>
    </row>
    <row r="159" spans="1:15" x14ac:dyDescent="0.3">
      <c r="A159" t="s">
        <v>190</v>
      </c>
      <c r="B159" s="1">
        <v>45978</v>
      </c>
      <c r="C159" t="s">
        <v>28</v>
      </c>
      <c r="D159" t="s">
        <v>21</v>
      </c>
      <c r="E159" t="s">
        <v>22</v>
      </c>
      <c r="F159" s="3">
        <v>7</v>
      </c>
      <c r="G159" s="4">
        <v>22712</v>
      </c>
      <c r="H159" s="4">
        <v>158984</v>
      </c>
      <c r="I159" s="4">
        <v>134854.32999999999</v>
      </c>
      <c r="J159" s="4">
        <v>24129.67</v>
      </c>
      <c r="K159" t="s">
        <v>15</v>
      </c>
      <c r="L159" s="3">
        <f>(Table1[[#This Row],[Profit]]/Table1[[#This Row],[Sales_Amount]])*100</f>
        <v>15.177420369345343</v>
      </c>
      <c r="M159" s="4" t="str" cm="1">
        <f t="array" ref="M159">_xlfn.IFS(Table1[[#This Row],[Sales_Amount]]&gt;200000,"High",AND(Table1[[#This Row],[Sales_Amount]]&gt;100000,Table1[[#This Row],[Sales_Amount]]&lt;200000),"Medium",Table1[[#This Row],[Sales_Amount]]&lt;100000,"Low")</f>
        <v>Medium</v>
      </c>
      <c r="N159" t="str">
        <f>TEXT(Table1[[#This Row],[Order_Date]],"MMMM")</f>
        <v>November</v>
      </c>
      <c r="O159">
        <f>YEAR(Table1[[#This Row],[Order_Date]])</f>
        <v>2025</v>
      </c>
    </row>
    <row r="160" spans="1:15" x14ac:dyDescent="0.3">
      <c r="A160" t="s">
        <v>191</v>
      </c>
      <c r="B160" s="1">
        <v>45979</v>
      </c>
      <c r="C160" t="s">
        <v>12</v>
      </c>
      <c r="D160" t="s">
        <v>56</v>
      </c>
      <c r="E160" t="s">
        <v>37</v>
      </c>
      <c r="F160" s="3">
        <v>6</v>
      </c>
      <c r="G160" s="4">
        <v>44088</v>
      </c>
      <c r="H160" s="4">
        <v>264528</v>
      </c>
      <c r="I160" s="4">
        <v>178944.45</v>
      </c>
      <c r="J160" s="4">
        <v>85583.55</v>
      </c>
      <c r="K160" t="s">
        <v>15</v>
      </c>
      <c r="L160" s="3">
        <f>(Table1[[#This Row],[Profit]]/Table1[[#This Row],[Sales_Amount]])*100</f>
        <v>32.353304754128111</v>
      </c>
      <c r="M160" s="4" t="str" cm="1">
        <f t="array" ref="M160">_xlfn.IFS(Table1[[#This Row],[Sales_Amount]]&gt;200000,"High",AND(Table1[[#This Row],[Sales_Amount]]&gt;100000,Table1[[#This Row],[Sales_Amount]]&lt;200000),"Medium",Table1[[#This Row],[Sales_Amount]]&lt;100000,"Low")</f>
        <v>High</v>
      </c>
      <c r="N160" t="str">
        <f>TEXT(Table1[[#This Row],[Order_Date]],"MMMM")</f>
        <v>November</v>
      </c>
      <c r="O160">
        <f>YEAR(Table1[[#This Row],[Order_Date]])</f>
        <v>2025</v>
      </c>
    </row>
    <row r="161" spans="1:15" x14ac:dyDescent="0.3">
      <c r="A161" t="s">
        <v>192</v>
      </c>
      <c r="B161" s="1">
        <v>45980</v>
      </c>
      <c r="C161" t="s">
        <v>40</v>
      </c>
      <c r="D161" t="s">
        <v>13</v>
      </c>
      <c r="E161" t="s">
        <v>14</v>
      </c>
      <c r="F161" s="3">
        <v>2</v>
      </c>
      <c r="G161" s="4">
        <v>28803</v>
      </c>
      <c r="H161" s="4">
        <v>57606</v>
      </c>
      <c r="I161" s="4">
        <v>36232.410000000003</v>
      </c>
      <c r="J161" s="4">
        <v>21373.59</v>
      </c>
      <c r="K161" t="s">
        <v>15</v>
      </c>
      <c r="L161" s="3">
        <f>(Table1[[#This Row],[Profit]]/Table1[[#This Row],[Sales_Amount]])*100</f>
        <v>37.103062181022814</v>
      </c>
      <c r="M161" s="4" t="str" cm="1">
        <f t="array" ref="M161">_xlfn.IFS(Table1[[#This Row],[Sales_Amount]]&gt;200000,"High",AND(Table1[[#This Row],[Sales_Amount]]&gt;100000,Table1[[#This Row],[Sales_Amount]]&lt;200000),"Medium",Table1[[#This Row],[Sales_Amount]]&lt;100000,"Low")</f>
        <v>Low</v>
      </c>
      <c r="N161" t="str">
        <f>TEXT(Table1[[#This Row],[Order_Date]],"MMMM")</f>
        <v>November</v>
      </c>
      <c r="O161">
        <f>YEAR(Table1[[#This Row],[Order_Date]])</f>
        <v>2025</v>
      </c>
    </row>
    <row r="162" spans="1:15" x14ac:dyDescent="0.3">
      <c r="A162" t="s">
        <v>193</v>
      </c>
      <c r="B162" s="1">
        <v>45981</v>
      </c>
      <c r="C162" t="s">
        <v>28</v>
      </c>
      <c r="D162" t="s">
        <v>34</v>
      </c>
      <c r="E162" t="s">
        <v>25</v>
      </c>
      <c r="F162" s="3">
        <v>9</v>
      </c>
      <c r="G162" s="4">
        <v>22103</v>
      </c>
      <c r="H162" s="4">
        <v>198927</v>
      </c>
      <c r="I162" s="4">
        <v>159341.32</v>
      </c>
      <c r="J162" s="4">
        <v>39585.68</v>
      </c>
      <c r="K162" t="s">
        <v>58</v>
      </c>
      <c r="L162" s="3">
        <f>(Table1[[#This Row],[Profit]]/Table1[[#This Row],[Sales_Amount]])*100</f>
        <v>19.899601361303393</v>
      </c>
      <c r="M162" s="4" t="str" cm="1">
        <f t="array" ref="M162">_xlfn.IFS(Table1[[#This Row],[Sales_Amount]]&gt;200000,"High",AND(Table1[[#This Row],[Sales_Amount]]&gt;100000,Table1[[#This Row],[Sales_Amount]]&lt;200000),"Medium",Table1[[#This Row],[Sales_Amount]]&lt;100000,"Low")</f>
        <v>Medium</v>
      </c>
      <c r="N162" t="str">
        <f>TEXT(Table1[[#This Row],[Order_Date]],"MMMM")</f>
        <v>November</v>
      </c>
      <c r="O162">
        <f>YEAR(Table1[[#This Row],[Order_Date]])</f>
        <v>2025</v>
      </c>
    </row>
    <row r="163" spans="1:15" x14ac:dyDescent="0.3">
      <c r="A163" t="s">
        <v>194</v>
      </c>
      <c r="B163" s="1">
        <v>45982</v>
      </c>
      <c r="C163" t="s">
        <v>12</v>
      </c>
      <c r="D163" t="s">
        <v>13</v>
      </c>
      <c r="E163" t="s">
        <v>32</v>
      </c>
      <c r="F163" s="3">
        <v>10</v>
      </c>
      <c r="G163" s="4">
        <v>20976</v>
      </c>
      <c r="H163" s="4">
        <v>209760</v>
      </c>
      <c r="I163" s="4">
        <v>147984.39000000001</v>
      </c>
      <c r="J163" s="4">
        <v>61775.61</v>
      </c>
      <c r="K163" t="s">
        <v>58</v>
      </c>
      <c r="L163" s="3">
        <f>(Table1[[#This Row],[Profit]]/Table1[[#This Row],[Sales_Amount]])*100</f>
        <v>29.450614988558353</v>
      </c>
      <c r="M163" s="4" t="str" cm="1">
        <f t="array" ref="M163">_xlfn.IFS(Table1[[#This Row],[Sales_Amount]]&gt;200000,"High",AND(Table1[[#This Row],[Sales_Amount]]&gt;100000,Table1[[#This Row],[Sales_Amount]]&lt;200000),"Medium",Table1[[#This Row],[Sales_Amount]]&lt;100000,"Low")</f>
        <v>High</v>
      </c>
      <c r="N163" t="str">
        <f>TEXT(Table1[[#This Row],[Order_Date]],"MMMM")</f>
        <v>November</v>
      </c>
      <c r="O163">
        <f>YEAR(Table1[[#This Row],[Order_Date]])</f>
        <v>2025</v>
      </c>
    </row>
    <row r="164" spans="1:15" x14ac:dyDescent="0.3">
      <c r="A164" t="s">
        <v>195</v>
      </c>
      <c r="B164" s="1">
        <v>45983</v>
      </c>
      <c r="C164" t="s">
        <v>40</v>
      </c>
      <c r="D164" t="s">
        <v>51</v>
      </c>
      <c r="E164" t="s">
        <v>14</v>
      </c>
      <c r="F164" s="3">
        <v>6</v>
      </c>
      <c r="G164" s="4">
        <v>36955</v>
      </c>
      <c r="H164" s="4">
        <v>221730</v>
      </c>
      <c r="I164" s="4">
        <v>157487.79</v>
      </c>
      <c r="J164" s="4">
        <v>64242.21</v>
      </c>
      <c r="K164" t="s">
        <v>58</v>
      </c>
      <c r="L164" s="3">
        <f>(Table1[[#This Row],[Profit]]/Table1[[#This Row],[Sales_Amount]])*100</f>
        <v>28.973170071708836</v>
      </c>
      <c r="M164" s="4" t="str" cm="1">
        <f t="array" ref="M164">_xlfn.IFS(Table1[[#This Row],[Sales_Amount]]&gt;200000,"High",AND(Table1[[#This Row],[Sales_Amount]]&gt;100000,Table1[[#This Row],[Sales_Amount]]&lt;200000),"Medium",Table1[[#This Row],[Sales_Amount]]&lt;100000,"Low")</f>
        <v>High</v>
      </c>
      <c r="N164" t="str">
        <f>TEXT(Table1[[#This Row],[Order_Date]],"MMMM")</f>
        <v>November</v>
      </c>
      <c r="O164">
        <f>YEAR(Table1[[#This Row],[Order_Date]])</f>
        <v>2025</v>
      </c>
    </row>
    <row r="165" spans="1:15" x14ac:dyDescent="0.3">
      <c r="A165" t="s">
        <v>196</v>
      </c>
      <c r="B165" s="1">
        <v>45984</v>
      </c>
      <c r="C165" t="s">
        <v>17</v>
      </c>
      <c r="D165" t="s">
        <v>44</v>
      </c>
      <c r="E165" t="s">
        <v>25</v>
      </c>
      <c r="F165" s="3">
        <v>10</v>
      </c>
      <c r="G165" s="4">
        <v>44735</v>
      </c>
      <c r="H165" s="4">
        <v>447350</v>
      </c>
      <c r="I165" s="4">
        <v>354663.44</v>
      </c>
      <c r="J165" s="4">
        <v>92686.56</v>
      </c>
      <c r="K165" t="s">
        <v>15</v>
      </c>
      <c r="L165" s="3">
        <f>(Table1[[#This Row],[Profit]]/Table1[[#This Row],[Sales_Amount]])*100</f>
        <v>20.719025371632949</v>
      </c>
      <c r="M165" s="4" t="str" cm="1">
        <f t="array" ref="M165">_xlfn.IFS(Table1[[#This Row],[Sales_Amount]]&gt;200000,"High",AND(Table1[[#This Row],[Sales_Amount]]&gt;100000,Table1[[#This Row],[Sales_Amount]]&lt;200000),"Medium",Table1[[#This Row],[Sales_Amount]]&lt;100000,"Low")</f>
        <v>High</v>
      </c>
      <c r="N165" t="str">
        <f>TEXT(Table1[[#This Row],[Order_Date]],"MMMM")</f>
        <v>November</v>
      </c>
      <c r="O165">
        <f>YEAR(Table1[[#This Row],[Order_Date]])</f>
        <v>2025</v>
      </c>
    </row>
    <row r="166" spans="1:15" x14ac:dyDescent="0.3">
      <c r="A166" t="s">
        <v>197</v>
      </c>
      <c r="B166" s="1">
        <v>45985</v>
      </c>
      <c r="C166" t="s">
        <v>12</v>
      </c>
      <c r="D166" t="s">
        <v>13</v>
      </c>
      <c r="E166" t="s">
        <v>32</v>
      </c>
      <c r="F166" s="3">
        <v>5</v>
      </c>
      <c r="G166" s="4">
        <v>22770</v>
      </c>
      <c r="H166" s="4">
        <v>113850</v>
      </c>
      <c r="I166" s="4">
        <v>80299.199999999997</v>
      </c>
      <c r="J166" s="4">
        <v>33550.800000000003</v>
      </c>
      <c r="K166" t="s">
        <v>58</v>
      </c>
      <c r="L166" s="3">
        <f>(Table1[[#This Row],[Profit]]/Table1[[#This Row],[Sales_Amount]])*100</f>
        <v>29.469301712779977</v>
      </c>
      <c r="M166" s="4" t="str" cm="1">
        <f t="array" ref="M166">_xlfn.IFS(Table1[[#This Row],[Sales_Amount]]&gt;200000,"High",AND(Table1[[#This Row],[Sales_Amount]]&gt;100000,Table1[[#This Row],[Sales_Amount]]&lt;200000),"Medium",Table1[[#This Row],[Sales_Amount]]&lt;100000,"Low")</f>
        <v>Medium</v>
      </c>
      <c r="N166" t="str">
        <f>TEXT(Table1[[#This Row],[Order_Date]],"MMMM")</f>
        <v>November</v>
      </c>
      <c r="O166">
        <f>YEAR(Table1[[#This Row],[Order_Date]])</f>
        <v>2025</v>
      </c>
    </row>
    <row r="167" spans="1:15" x14ac:dyDescent="0.3">
      <c r="A167" t="s">
        <v>198</v>
      </c>
      <c r="B167" s="1">
        <v>45986</v>
      </c>
      <c r="C167" t="s">
        <v>12</v>
      </c>
      <c r="D167" t="s">
        <v>21</v>
      </c>
      <c r="E167" t="s">
        <v>22</v>
      </c>
      <c r="F167" s="3">
        <v>1</v>
      </c>
      <c r="G167" s="4">
        <v>6513</v>
      </c>
      <c r="H167" s="4">
        <v>6513</v>
      </c>
      <c r="I167" s="4">
        <v>5365.63</v>
      </c>
      <c r="J167" s="4">
        <v>1147.3699999999999</v>
      </c>
      <c r="K167" t="s">
        <v>58</v>
      </c>
      <c r="L167" s="3">
        <f>(Table1[[#This Row],[Profit]]/Table1[[#This Row],[Sales_Amount]])*100</f>
        <v>17.616612927990172</v>
      </c>
      <c r="M167" s="4" t="str" cm="1">
        <f t="array" ref="M167">_xlfn.IFS(Table1[[#This Row],[Sales_Amount]]&gt;200000,"High",AND(Table1[[#This Row],[Sales_Amount]]&gt;100000,Table1[[#This Row],[Sales_Amount]]&lt;200000),"Medium",Table1[[#This Row],[Sales_Amount]]&lt;100000,"Low")</f>
        <v>Low</v>
      </c>
      <c r="N167" t="str">
        <f>TEXT(Table1[[#This Row],[Order_Date]],"MMMM")</f>
        <v>November</v>
      </c>
      <c r="O167">
        <f>YEAR(Table1[[#This Row],[Order_Date]])</f>
        <v>2025</v>
      </c>
    </row>
    <row r="168" spans="1:15" x14ac:dyDescent="0.3">
      <c r="A168" t="s">
        <v>199</v>
      </c>
      <c r="B168" s="1">
        <v>45987</v>
      </c>
      <c r="C168" t="s">
        <v>40</v>
      </c>
      <c r="D168" t="s">
        <v>29</v>
      </c>
      <c r="E168" t="s">
        <v>32</v>
      </c>
      <c r="F168" s="3">
        <v>3</v>
      </c>
      <c r="G168" s="4">
        <v>24751</v>
      </c>
      <c r="H168" s="4">
        <v>74253</v>
      </c>
      <c r="I168" s="4">
        <v>51493.8</v>
      </c>
      <c r="J168" s="4">
        <v>22759.200000000001</v>
      </c>
      <c r="K168" t="s">
        <v>15</v>
      </c>
      <c r="L168" s="3">
        <f>(Table1[[#This Row],[Profit]]/Table1[[#This Row],[Sales_Amount]])*100</f>
        <v>30.650882792614443</v>
      </c>
      <c r="M168" s="4" t="str" cm="1">
        <f t="array" ref="M168">_xlfn.IFS(Table1[[#This Row],[Sales_Amount]]&gt;200000,"High",AND(Table1[[#This Row],[Sales_Amount]]&gt;100000,Table1[[#This Row],[Sales_Amount]]&lt;200000),"Medium",Table1[[#This Row],[Sales_Amount]]&lt;100000,"Low")</f>
        <v>Low</v>
      </c>
      <c r="N168" t="str">
        <f>TEXT(Table1[[#This Row],[Order_Date]],"MMMM")</f>
        <v>November</v>
      </c>
      <c r="O168">
        <f>YEAR(Table1[[#This Row],[Order_Date]])</f>
        <v>2025</v>
      </c>
    </row>
    <row r="169" spans="1:15" x14ac:dyDescent="0.3">
      <c r="A169" t="s">
        <v>200</v>
      </c>
      <c r="B169" s="1">
        <v>45988</v>
      </c>
      <c r="C169" t="s">
        <v>40</v>
      </c>
      <c r="D169" t="s">
        <v>56</v>
      </c>
      <c r="E169" t="s">
        <v>22</v>
      </c>
      <c r="F169" s="3">
        <v>10</v>
      </c>
      <c r="G169" s="4">
        <v>3761</v>
      </c>
      <c r="H169" s="4">
        <v>37610</v>
      </c>
      <c r="I169" s="4">
        <v>30170.39</v>
      </c>
      <c r="J169" s="4">
        <v>7439.61</v>
      </c>
      <c r="K169" t="s">
        <v>58</v>
      </c>
      <c r="L169" s="3">
        <f>(Table1[[#This Row],[Profit]]/Table1[[#This Row],[Sales_Amount]])*100</f>
        <v>19.780935921297527</v>
      </c>
      <c r="M169" s="4" t="str" cm="1">
        <f t="array" ref="M169">_xlfn.IFS(Table1[[#This Row],[Sales_Amount]]&gt;200000,"High",AND(Table1[[#This Row],[Sales_Amount]]&gt;100000,Table1[[#This Row],[Sales_Amount]]&lt;200000),"Medium",Table1[[#This Row],[Sales_Amount]]&lt;100000,"Low")</f>
        <v>Low</v>
      </c>
      <c r="N169" t="str">
        <f>TEXT(Table1[[#This Row],[Order_Date]],"MMMM")</f>
        <v>November</v>
      </c>
      <c r="O169">
        <f>YEAR(Table1[[#This Row],[Order_Date]])</f>
        <v>2025</v>
      </c>
    </row>
    <row r="170" spans="1:15" x14ac:dyDescent="0.3">
      <c r="A170" t="s">
        <v>201</v>
      </c>
      <c r="B170" s="1">
        <v>45989</v>
      </c>
      <c r="C170" t="s">
        <v>17</v>
      </c>
      <c r="D170" t="s">
        <v>34</v>
      </c>
      <c r="E170" t="s">
        <v>25</v>
      </c>
      <c r="F170" s="3">
        <v>8</v>
      </c>
      <c r="G170" s="4">
        <v>27643</v>
      </c>
      <c r="H170" s="4">
        <v>221144</v>
      </c>
      <c r="I170" s="4">
        <v>150809.16</v>
      </c>
      <c r="J170" s="4">
        <v>70334.84</v>
      </c>
      <c r="K170" t="s">
        <v>58</v>
      </c>
      <c r="L170" s="3">
        <f>(Table1[[#This Row],[Profit]]/Table1[[#This Row],[Sales_Amount]])*100</f>
        <v>31.804995839814783</v>
      </c>
      <c r="M170" s="4" t="str" cm="1">
        <f t="array" ref="M170">_xlfn.IFS(Table1[[#This Row],[Sales_Amount]]&gt;200000,"High",AND(Table1[[#This Row],[Sales_Amount]]&gt;100000,Table1[[#This Row],[Sales_Amount]]&lt;200000),"Medium",Table1[[#This Row],[Sales_Amount]]&lt;100000,"Low")</f>
        <v>High</v>
      </c>
      <c r="N170" t="str">
        <f>TEXT(Table1[[#This Row],[Order_Date]],"MMMM")</f>
        <v>November</v>
      </c>
      <c r="O170">
        <f>YEAR(Table1[[#This Row],[Order_Date]])</f>
        <v>2025</v>
      </c>
    </row>
    <row r="171" spans="1:15" x14ac:dyDescent="0.3">
      <c r="A171" t="s">
        <v>202</v>
      </c>
      <c r="B171" s="1">
        <v>45990</v>
      </c>
      <c r="C171" t="s">
        <v>40</v>
      </c>
      <c r="D171" t="s">
        <v>18</v>
      </c>
      <c r="E171" t="s">
        <v>32</v>
      </c>
      <c r="F171" s="3">
        <v>10</v>
      </c>
      <c r="G171" s="4">
        <v>32391</v>
      </c>
      <c r="H171" s="4">
        <v>323910</v>
      </c>
      <c r="I171" s="4">
        <v>245549.77</v>
      </c>
      <c r="J171" s="4">
        <v>78360.23</v>
      </c>
      <c r="K171" t="s">
        <v>23</v>
      </c>
      <c r="L171" s="3">
        <f>(Table1[[#This Row],[Profit]]/Table1[[#This Row],[Sales_Amount]])*100</f>
        <v>24.19197616621901</v>
      </c>
      <c r="M171" s="4" t="str" cm="1">
        <f t="array" ref="M171">_xlfn.IFS(Table1[[#This Row],[Sales_Amount]]&gt;200000,"High",AND(Table1[[#This Row],[Sales_Amount]]&gt;100000,Table1[[#This Row],[Sales_Amount]]&lt;200000),"Medium",Table1[[#This Row],[Sales_Amount]]&lt;100000,"Low")</f>
        <v>High</v>
      </c>
      <c r="N171" t="str">
        <f>TEXT(Table1[[#This Row],[Order_Date]],"MMMM")</f>
        <v>November</v>
      </c>
      <c r="O171">
        <f>YEAR(Table1[[#This Row],[Order_Date]])</f>
        <v>2025</v>
      </c>
    </row>
    <row r="172" spans="1:15" x14ac:dyDescent="0.3">
      <c r="A172" t="s">
        <v>203</v>
      </c>
      <c r="B172" s="1">
        <v>45991</v>
      </c>
      <c r="C172" t="s">
        <v>12</v>
      </c>
      <c r="D172" t="s">
        <v>13</v>
      </c>
      <c r="E172" t="s">
        <v>25</v>
      </c>
      <c r="F172" s="3">
        <v>1</v>
      </c>
      <c r="G172" s="4">
        <v>1003</v>
      </c>
      <c r="H172" s="4">
        <v>1003</v>
      </c>
      <c r="I172" s="4">
        <v>663.31</v>
      </c>
      <c r="J172" s="4">
        <v>339.69</v>
      </c>
      <c r="K172" t="s">
        <v>26</v>
      </c>
      <c r="L172" s="3">
        <f>(Table1[[#This Row],[Profit]]/Table1[[#This Row],[Sales_Amount]])*100</f>
        <v>33.867397806580257</v>
      </c>
      <c r="M172" s="4" t="str" cm="1">
        <f t="array" ref="M172">_xlfn.IFS(Table1[[#This Row],[Sales_Amount]]&gt;200000,"High",AND(Table1[[#This Row],[Sales_Amount]]&gt;100000,Table1[[#This Row],[Sales_Amount]]&lt;200000),"Medium",Table1[[#This Row],[Sales_Amount]]&lt;100000,"Low")</f>
        <v>Low</v>
      </c>
      <c r="N172" t="str">
        <f>TEXT(Table1[[#This Row],[Order_Date]],"MMMM")</f>
        <v>November</v>
      </c>
      <c r="O172">
        <f>YEAR(Table1[[#This Row],[Order_Date]])</f>
        <v>2025</v>
      </c>
    </row>
    <row r="173" spans="1:15" x14ac:dyDescent="0.3">
      <c r="A173" t="s">
        <v>204</v>
      </c>
      <c r="B173" s="1">
        <v>45992</v>
      </c>
      <c r="C173" t="s">
        <v>28</v>
      </c>
      <c r="D173" t="s">
        <v>13</v>
      </c>
      <c r="E173" t="s">
        <v>32</v>
      </c>
      <c r="F173" s="3">
        <v>2</v>
      </c>
      <c r="G173" s="4">
        <v>1006</v>
      </c>
      <c r="H173" s="4">
        <v>2012</v>
      </c>
      <c r="I173" s="4">
        <v>1507.42</v>
      </c>
      <c r="J173" s="4">
        <v>504.58</v>
      </c>
      <c r="K173" t="s">
        <v>23</v>
      </c>
      <c r="L173" s="3">
        <f>(Table1[[#This Row],[Profit]]/Table1[[#This Row],[Sales_Amount]])*100</f>
        <v>25.078528827037772</v>
      </c>
      <c r="M173" s="4" t="str" cm="1">
        <f t="array" ref="M173">_xlfn.IFS(Table1[[#This Row],[Sales_Amount]]&gt;200000,"High",AND(Table1[[#This Row],[Sales_Amount]]&gt;100000,Table1[[#This Row],[Sales_Amount]]&lt;200000),"Medium",Table1[[#This Row],[Sales_Amount]]&lt;100000,"Low")</f>
        <v>Low</v>
      </c>
      <c r="N173" t="str">
        <f>TEXT(Table1[[#This Row],[Order_Date]],"MMMM")</f>
        <v>December</v>
      </c>
      <c r="O173">
        <f>YEAR(Table1[[#This Row],[Order_Date]])</f>
        <v>2025</v>
      </c>
    </row>
    <row r="174" spans="1:15" x14ac:dyDescent="0.3">
      <c r="A174" t="s">
        <v>205</v>
      </c>
      <c r="B174" s="1">
        <v>45993</v>
      </c>
      <c r="C174" t="s">
        <v>40</v>
      </c>
      <c r="D174" t="s">
        <v>29</v>
      </c>
      <c r="E174" t="s">
        <v>25</v>
      </c>
      <c r="F174" s="3">
        <v>4</v>
      </c>
      <c r="G174" s="4">
        <v>33285</v>
      </c>
      <c r="H174" s="4">
        <v>133140</v>
      </c>
      <c r="I174" s="4">
        <v>102200.54</v>
      </c>
      <c r="J174" s="4">
        <v>30939.46</v>
      </c>
      <c r="K174" t="s">
        <v>58</v>
      </c>
      <c r="L174" s="3">
        <f>(Table1[[#This Row],[Profit]]/Table1[[#This Row],[Sales_Amount]])*100</f>
        <v>23.23829052125582</v>
      </c>
      <c r="M174" s="4" t="str" cm="1">
        <f t="array" ref="M174">_xlfn.IFS(Table1[[#This Row],[Sales_Amount]]&gt;200000,"High",AND(Table1[[#This Row],[Sales_Amount]]&gt;100000,Table1[[#This Row],[Sales_Amount]]&lt;200000),"Medium",Table1[[#This Row],[Sales_Amount]]&lt;100000,"Low")</f>
        <v>Medium</v>
      </c>
      <c r="N174" t="str">
        <f>TEXT(Table1[[#This Row],[Order_Date]],"MMMM")</f>
        <v>December</v>
      </c>
      <c r="O174">
        <f>YEAR(Table1[[#This Row],[Order_Date]])</f>
        <v>2025</v>
      </c>
    </row>
    <row r="175" spans="1:15" x14ac:dyDescent="0.3">
      <c r="A175" t="s">
        <v>206</v>
      </c>
      <c r="B175" s="1">
        <v>45994</v>
      </c>
      <c r="C175" t="s">
        <v>40</v>
      </c>
      <c r="D175" t="s">
        <v>21</v>
      </c>
      <c r="E175" t="s">
        <v>37</v>
      </c>
      <c r="F175" s="3">
        <v>1</v>
      </c>
      <c r="G175" s="4">
        <v>30630</v>
      </c>
      <c r="H175" s="4">
        <v>30630</v>
      </c>
      <c r="I175" s="4">
        <v>26842.560000000001</v>
      </c>
      <c r="J175" s="4">
        <v>3787.44</v>
      </c>
      <c r="K175" t="s">
        <v>58</v>
      </c>
      <c r="L175" s="3">
        <f>(Table1[[#This Row],[Profit]]/Table1[[#This Row],[Sales_Amount]])*100</f>
        <v>12.36513222331048</v>
      </c>
      <c r="M175" s="4" t="str" cm="1">
        <f t="array" ref="M175">_xlfn.IFS(Table1[[#This Row],[Sales_Amount]]&gt;200000,"High",AND(Table1[[#This Row],[Sales_Amount]]&gt;100000,Table1[[#This Row],[Sales_Amount]]&lt;200000),"Medium",Table1[[#This Row],[Sales_Amount]]&lt;100000,"Low")</f>
        <v>Low</v>
      </c>
      <c r="N175" t="str">
        <f>TEXT(Table1[[#This Row],[Order_Date]],"MMMM")</f>
        <v>December</v>
      </c>
      <c r="O175">
        <f>YEAR(Table1[[#This Row],[Order_Date]])</f>
        <v>2025</v>
      </c>
    </row>
    <row r="176" spans="1:15" x14ac:dyDescent="0.3">
      <c r="A176" t="s">
        <v>207</v>
      </c>
      <c r="B176" s="1">
        <v>45995</v>
      </c>
      <c r="C176" t="s">
        <v>40</v>
      </c>
      <c r="D176" t="s">
        <v>13</v>
      </c>
      <c r="E176" t="s">
        <v>37</v>
      </c>
      <c r="F176" s="3">
        <v>5</v>
      </c>
      <c r="G176" s="4">
        <v>8048</v>
      </c>
      <c r="H176" s="4">
        <v>40240</v>
      </c>
      <c r="I176" s="4">
        <v>29033.55</v>
      </c>
      <c r="J176" s="4">
        <v>11206.45</v>
      </c>
      <c r="K176" t="s">
        <v>58</v>
      </c>
      <c r="L176" s="3">
        <f>(Table1[[#This Row],[Profit]]/Table1[[#This Row],[Sales_Amount]])*100</f>
        <v>27.849030815109344</v>
      </c>
      <c r="M176" s="4" t="str" cm="1">
        <f t="array" ref="M176">_xlfn.IFS(Table1[[#This Row],[Sales_Amount]]&gt;200000,"High",AND(Table1[[#This Row],[Sales_Amount]]&gt;100000,Table1[[#This Row],[Sales_Amount]]&lt;200000),"Medium",Table1[[#This Row],[Sales_Amount]]&lt;100000,"Low")</f>
        <v>Low</v>
      </c>
      <c r="N176" t="str">
        <f>TEXT(Table1[[#This Row],[Order_Date]],"MMMM")</f>
        <v>December</v>
      </c>
      <c r="O176">
        <f>YEAR(Table1[[#This Row],[Order_Date]])</f>
        <v>2025</v>
      </c>
    </row>
    <row r="177" spans="1:15" x14ac:dyDescent="0.3">
      <c r="A177" t="s">
        <v>208</v>
      </c>
      <c r="B177" s="1">
        <v>45996</v>
      </c>
      <c r="C177" t="s">
        <v>12</v>
      </c>
      <c r="D177" t="s">
        <v>21</v>
      </c>
      <c r="E177" t="s">
        <v>32</v>
      </c>
      <c r="F177" s="3">
        <v>2</v>
      </c>
      <c r="G177" s="4">
        <v>29120</v>
      </c>
      <c r="H177" s="4">
        <v>58240</v>
      </c>
      <c r="I177" s="4">
        <v>49698.83</v>
      </c>
      <c r="J177" s="4">
        <v>8541.17</v>
      </c>
      <c r="K177" t="s">
        <v>58</v>
      </c>
      <c r="L177" s="3">
        <f>(Table1[[#This Row],[Profit]]/Table1[[#This Row],[Sales_Amount]])*100</f>
        <v>14.665470467032968</v>
      </c>
      <c r="M177" s="4" t="str" cm="1">
        <f t="array" ref="M177">_xlfn.IFS(Table1[[#This Row],[Sales_Amount]]&gt;200000,"High",AND(Table1[[#This Row],[Sales_Amount]]&gt;100000,Table1[[#This Row],[Sales_Amount]]&lt;200000),"Medium",Table1[[#This Row],[Sales_Amount]]&lt;100000,"Low")</f>
        <v>Low</v>
      </c>
      <c r="N177" t="str">
        <f>TEXT(Table1[[#This Row],[Order_Date]],"MMMM")</f>
        <v>December</v>
      </c>
      <c r="O177">
        <f>YEAR(Table1[[#This Row],[Order_Date]])</f>
        <v>2025</v>
      </c>
    </row>
    <row r="178" spans="1:15" x14ac:dyDescent="0.3">
      <c r="A178" t="s">
        <v>209</v>
      </c>
      <c r="B178" s="1">
        <v>45997</v>
      </c>
      <c r="C178" t="s">
        <v>12</v>
      </c>
      <c r="D178" t="s">
        <v>34</v>
      </c>
      <c r="E178" t="s">
        <v>14</v>
      </c>
      <c r="F178" s="3">
        <v>7</v>
      </c>
      <c r="G178" s="4">
        <v>20834</v>
      </c>
      <c r="H178" s="4">
        <v>145838</v>
      </c>
      <c r="I178" s="4">
        <v>120132.81</v>
      </c>
      <c r="J178" s="4">
        <v>25705.19</v>
      </c>
      <c r="K178" t="s">
        <v>23</v>
      </c>
      <c r="L178" s="3">
        <f>(Table1[[#This Row],[Profit]]/Table1[[#This Row],[Sales_Amount]])*100</f>
        <v>17.625851972736871</v>
      </c>
      <c r="M178" s="4" t="str" cm="1">
        <f t="array" ref="M178">_xlfn.IFS(Table1[[#This Row],[Sales_Amount]]&gt;200000,"High",AND(Table1[[#This Row],[Sales_Amount]]&gt;100000,Table1[[#This Row],[Sales_Amount]]&lt;200000),"Medium",Table1[[#This Row],[Sales_Amount]]&lt;100000,"Low")</f>
        <v>Medium</v>
      </c>
      <c r="N178" t="str">
        <f>TEXT(Table1[[#This Row],[Order_Date]],"MMMM")</f>
        <v>December</v>
      </c>
      <c r="O178">
        <f>YEAR(Table1[[#This Row],[Order_Date]])</f>
        <v>2025</v>
      </c>
    </row>
    <row r="179" spans="1:15" x14ac:dyDescent="0.3">
      <c r="A179" t="s">
        <v>210</v>
      </c>
      <c r="B179" s="1">
        <v>45998</v>
      </c>
      <c r="C179" t="s">
        <v>40</v>
      </c>
      <c r="D179" t="s">
        <v>34</v>
      </c>
      <c r="E179" t="s">
        <v>25</v>
      </c>
      <c r="F179" s="3">
        <v>2</v>
      </c>
      <c r="G179" s="4">
        <v>35273</v>
      </c>
      <c r="H179" s="4">
        <v>70546</v>
      </c>
      <c r="I179" s="4">
        <v>53120.12</v>
      </c>
      <c r="J179" s="4">
        <v>17425.88</v>
      </c>
      <c r="K179" t="s">
        <v>23</v>
      </c>
      <c r="L179" s="3">
        <f>(Table1[[#This Row],[Profit]]/Table1[[#This Row],[Sales_Amount]])*100</f>
        <v>24.701443030079666</v>
      </c>
      <c r="M179" s="4" t="str" cm="1">
        <f t="array" ref="M179">_xlfn.IFS(Table1[[#This Row],[Sales_Amount]]&gt;200000,"High",AND(Table1[[#This Row],[Sales_Amount]]&gt;100000,Table1[[#This Row],[Sales_Amount]]&lt;200000),"Medium",Table1[[#This Row],[Sales_Amount]]&lt;100000,"Low")</f>
        <v>Low</v>
      </c>
      <c r="N179" t="str">
        <f>TEXT(Table1[[#This Row],[Order_Date]],"MMMM")</f>
        <v>December</v>
      </c>
      <c r="O179">
        <f>YEAR(Table1[[#This Row],[Order_Date]])</f>
        <v>2025</v>
      </c>
    </row>
    <row r="180" spans="1:15" x14ac:dyDescent="0.3">
      <c r="A180" t="s">
        <v>211</v>
      </c>
      <c r="B180" s="1">
        <v>45999</v>
      </c>
      <c r="C180" t="s">
        <v>12</v>
      </c>
      <c r="D180" t="s">
        <v>29</v>
      </c>
      <c r="E180" t="s">
        <v>14</v>
      </c>
      <c r="F180" s="3">
        <v>3</v>
      </c>
      <c r="G180" s="4">
        <v>17275</v>
      </c>
      <c r="H180" s="4">
        <v>51825</v>
      </c>
      <c r="I180" s="4">
        <v>34162.080000000002</v>
      </c>
      <c r="J180" s="4">
        <v>17662.919999999998</v>
      </c>
      <c r="K180" t="s">
        <v>23</v>
      </c>
      <c r="L180" s="3">
        <f>(Table1[[#This Row],[Profit]]/Table1[[#This Row],[Sales_Amount]])*100</f>
        <v>34.081852387843703</v>
      </c>
      <c r="M180" s="4" t="str" cm="1">
        <f t="array" ref="M180">_xlfn.IFS(Table1[[#This Row],[Sales_Amount]]&gt;200000,"High",AND(Table1[[#This Row],[Sales_Amount]]&gt;100000,Table1[[#This Row],[Sales_Amount]]&lt;200000),"Medium",Table1[[#This Row],[Sales_Amount]]&lt;100000,"Low")</f>
        <v>Low</v>
      </c>
      <c r="N180" t="str">
        <f>TEXT(Table1[[#This Row],[Order_Date]],"MMMM")</f>
        <v>December</v>
      </c>
      <c r="O180">
        <f>YEAR(Table1[[#This Row],[Order_Date]])</f>
        <v>2025</v>
      </c>
    </row>
    <row r="181" spans="1:15" x14ac:dyDescent="0.3">
      <c r="A181" t="s">
        <v>212</v>
      </c>
      <c r="B181" s="1">
        <v>46000</v>
      </c>
      <c r="C181" t="s">
        <v>28</v>
      </c>
      <c r="D181" t="s">
        <v>34</v>
      </c>
      <c r="E181" t="s">
        <v>37</v>
      </c>
      <c r="F181" s="3">
        <v>8</v>
      </c>
      <c r="G181" s="4">
        <v>49943</v>
      </c>
      <c r="H181" s="4">
        <v>399544</v>
      </c>
      <c r="I181" s="4">
        <v>307297.53999999998</v>
      </c>
      <c r="J181" s="4">
        <v>92246.46</v>
      </c>
      <c r="K181" t="s">
        <v>26</v>
      </c>
      <c r="L181" s="3">
        <f>(Table1[[#This Row],[Profit]]/Table1[[#This Row],[Sales_Amount]])*100</f>
        <v>23.087935246180646</v>
      </c>
      <c r="M181" s="4" t="str" cm="1">
        <f t="array" ref="M181">_xlfn.IFS(Table1[[#This Row],[Sales_Amount]]&gt;200000,"High",AND(Table1[[#This Row],[Sales_Amount]]&gt;100000,Table1[[#This Row],[Sales_Amount]]&lt;200000),"Medium",Table1[[#This Row],[Sales_Amount]]&lt;100000,"Low")</f>
        <v>High</v>
      </c>
      <c r="N181" t="str">
        <f>TEXT(Table1[[#This Row],[Order_Date]],"MMMM")</f>
        <v>December</v>
      </c>
      <c r="O181">
        <f>YEAR(Table1[[#This Row],[Order_Date]])</f>
        <v>2025</v>
      </c>
    </row>
    <row r="182" spans="1:15" x14ac:dyDescent="0.3">
      <c r="A182" t="s">
        <v>213</v>
      </c>
      <c r="B182" s="1">
        <v>46001</v>
      </c>
      <c r="C182" t="s">
        <v>40</v>
      </c>
      <c r="D182" t="s">
        <v>44</v>
      </c>
      <c r="E182" t="s">
        <v>37</v>
      </c>
      <c r="F182" s="3">
        <v>2</v>
      </c>
      <c r="G182" s="4">
        <v>31231</v>
      </c>
      <c r="H182" s="4">
        <v>62462</v>
      </c>
      <c r="I182" s="4">
        <v>45763.56</v>
      </c>
      <c r="J182" s="4">
        <v>16698.439999999999</v>
      </c>
      <c r="K182" t="s">
        <v>15</v>
      </c>
      <c r="L182" s="3">
        <f>(Table1[[#This Row],[Profit]]/Table1[[#This Row],[Sales_Amount]])*100</f>
        <v>26.733758124939961</v>
      </c>
      <c r="M182" s="4" t="str" cm="1">
        <f t="array" ref="M182">_xlfn.IFS(Table1[[#This Row],[Sales_Amount]]&gt;200000,"High",AND(Table1[[#This Row],[Sales_Amount]]&gt;100000,Table1[[#This Row],[Sales_Amount]]&lt;200000),"Medium",Table1[[#This Row],[Sales_Amount]]&lt;100000,"Low")</f>
        <v>Low</v>
      </c>
      <c r="N182" t="str">
        <f>TEXT(Table1[[#This Row],[Order_Date]],"MMMM")</f>
        <v>December</v>
      </c>
      <c r="O182">
        <f>YEAR(Table1[[#This Row],[Order_Date]])</f>
        <v>2025</v>
      </c>
    </row>
    <row r="183" spans="1:15" x14ac:dyDescent="0.3">
      <c r="A183" t="s">
        <v>214</v>
      </c>
      <c r="B183" s="1">
        <v>46002</v>
      </c>
      <c r="C183" t="s">
        <v>17</v>
      </c>
      <c r="D183" t="s">
        <v>18</v>
      </c>
      <c r="E183" t="s">
        <v>25</v>
      </c>
      <c r="F183" s="3">
        <v>2</v>
      </c>
      <c r="G183" s="4">
        <v>20842</v>
      </c>
      <c r="H183" s="4">
        <v>41684</v>
      </c>
      <c r="I183" s="4">
        <v>30784.58</v>
      </c>
      <c r="J183" s="4">
        <v>10899.42</v>
      </c>
      <c r="K183" t="s">
        <v>26</v>
      </c>
      <c r="L183" s="3">
        <f>(Table1[[#This Row],[Profit]]/Table1[[#This Row],[Sales_Amount]])*100</f>
        <v>26.147730544093655</v>
      </c>
      <c r="M183" s="4" t="str" cm="1">
        <f t="array" ref="M183">_xlfn.IFS(Table1[[#This Row],[Sales_Amount]]&gt;200000,"High",AND(Table1[[#This Row],[Sales_Amount]]&gt;100000,Table1[[#This Row],[Sales_Amount]]&lt;200000),"Medium",Table1[[#This Row],[Sales_Amount]]&lt;100000,"Low")</f>
        <v>Low</v>
      </c>
      <c r="N183" t="str">
        <f>TEXT(Table1[[#This Row],[Order_Date]],"MMMM")</f>
        <v>December</v>
      </c>
      <c r="O183">
        <f>YEAR(Table1[[#This Row],[Order_Date]])</f>
        <v>2025</v>
      </c>
    </row>
    <row r="184" spans="1:15" x14ac:dyDescent="0.3">
      <c r="A184" t="s">
        <v>215</v>
      </c>
      <c r="B184" s="1">
        <v>46003</v>
      </c>
      <c r="C184" t="s">
        <v>28</v>
      </c>
      <c r="D184" t="s">
        <v>56</v>
      </c>
      <c r="E184" t="s">
        <v>14</v>
      </c>
      <c r="F184" s="3">
        <v>2</v>
      </c>
      <c r="G184" s="4">
        <v>40805</v>
      </c>
      <c r="H184" s="4">
        <v>81610</v>
      </c>
      <c r="I184" s="4">
        <v>63510.86</v>
      </c>
      <c r="J184" s="4">
        <v>18099.14</v>
      </c>
      <c r="K184" t="s">
        <v>15</v>
      </c>
      <c r="L184" s="3">
        <f>(Table1[[#This Row],[Profit]]/Table1[[#This Row],[Sales_Amount]])*100</f>
        <v>22.177600784217617</v>
      </c>
      <c r="M184" s="4" t="str" cm="1">
        <f t="array" ref="M184">_xlfn.IFS(Table1[[#This Row],[Sales_Amount]]&gt;200000,"High",AND(Table1[[#This Row],[Sales_Amount]]&gt;100000,Table1[[#This Row],[Sales_Amount]]&lt;200000),"Medium",Table1[[#This Row],[Sales_Amount]]&lt;100000,"Low")</f>
        <v>Low</v>
      </c>
      <c r="N184" t="str">
        <f>TEXT(Table1[[#This Row],[Order_Date]],"MMMM")</f>
        <v>December</v>
      </c>
      <c r="O184">
        <f>YEAR(Table1[[#This Row],[Order_Date]])</f>
        <v>2025</v>
      </c>
    </row>
    <row r="185" spans="1:15" x14ac:dyDescent="0.3">
      <c r="A185" t="s">
        <v>216</v>
      </c>
      <c r="B185" s="1">
        <v>46004</v>
      </c>
      <c r="C185" t="s">
        <v>12</v>
      </c>
      <c r="D185" t="s">
        <v>18</v>
      </c>
      <c r="E185" t="s">
        <v>25</v>
      </c>
      <c r="F185" s="3">
        <v>4</v>
      </c>
      <c r="G185" s="4">
        <v>21571</v>
      </c>
      <c r="H185" s="4">
        <v>86284</v>
      </c>
      <c r="I185" s="4">
        <v>67431.100000000006</v>
      </c>
      <c r="J185" s="4">
        <v>18852.900000000001</v>
      </c>
      <c r="K185" t="s">
        <v>58</v>
      </c>
      <c r="L185" s="3">
        <f>(Table1[[#This Row],[Profit]]/Table1[[#This Row],[Sales_Amount]])*100</f>
        <v>21.849821519632844</v>
      </c>
      <c r="M185" s="4" t="str" cm="1">
        <f t="array" ref="M185">_xlfn.IFS(Table1[[#This Row],[Sales_Amount]]&gt;200000,"High",AND(Table1[[#This Row],[Sales_Amount]]&gt;100000,Table1[[#This Row],[Sales_Amount]]&lt;200000),"Medium",Table1[[#This Row],[Sales_Amount]]&lt;100000,"Low")</f>
        <v>Low</v>
      </c>
      <c r="N185" t="str">
        <f>TEXT(Table1[[#This Row],[Order_Date]],"MMMM")</f>
        <v>December</v>
      </c>
      <c r="O185">
        <f>YEAR(Table1[[#This Row],[Order_Date]])</f>
        <v>2025</v>
      </c>
    </row>
    <row r="186" spans="1:15" x14ac:dyDescent="0.3">
      <c r="A186" t="s">
        <v>217</v>
      </c>
      <c r="B186" s="1">
        <v>46005</v>
      </c>
      <c r="C186" t="s">
        <v>17</v>
      </c>
      <c r="D186" t="s">
        <v>51</v>
      </c>
      <c r="E186" t="s">
        <v>32</v>
      </c>
      <c r="F186" s="3">
        <v>2</v>
      </c>
      <c r="G186" s="4">
        <v>33566</v>
      </c>
      <c r="H186" s="4">
        <v>67132</v>
      </c>
      <c r="I186" s="4">
        <v>53291.94</v>
      </c>
      <c r="J186" s="4">
        <v>13840.06</v>
      </c>
      <c r="K186" t="s">
        <v>58</v>
      </c>
      <c r="L186" s="3">
        <f>(Table1[[#This Row],[Profit]]/Table1[[#This Row],[Sales_Amount]])*100</f>
        <v>20.616189000774593</v>
      </c>
      <c r="M186" s="4" t="str" cm="1">
        <f t="array" ref="M186">_xlfn.IFS(Table1[[#This Row],[Sales_Amount]]&gt;200000,"High",AND(Table1[[#This Row],[Sales_Amount]]&gt;100000,Table1[[#This Row],[Sales_Amount]]&lt;200000),"Medium",Table1[[#This Row],[Sales_Amount]]&lt;100000,"Low")</f>
        <v>Low</v>
      </c>
      <c r="N186" t="str">
        <f>TEXT(Table1[[#This Row],[Order_Date]],"MMMM")</f>
        <v>December</v>
      </c>
      <c r="O186">
        <f>YEAR(Table1[[#This Row],[Order_Date]])</f>
        <v>2025</v>
      </c>
    </row>
    <row r="187" spans="1:15" x14ac:dyDescent="0.3">
      <c r="A187" t="s">
        <v>218</v>
      </c>
      <c r="B187" s="1">
        <v>46006</v>
      </c>
      <c r="C187" t="s">
        <v>40</v>
      </c>
      <c r="D187" t="s">
        <v>44</v>
      </c>
      <c r="E187" t="s">
        <v>25</v>
      </c>
      <c r="F187" s="3">
        <v>9</v>
      </c>
      <c r="G187" s="4">
        <v>40464</v>
      </c>
      <c r="H187" s="4">
        <v>364176</v>
      </c>
      <c r="I187" s="4">
        <v>235849.07</v>
      </c>
      <c r="J187" s="4">
        <v>128326.93</v>
      </c>
      <c r="K187" t="s">
        <v>58</v>
      </c>
      <c r="L187" s="3">
        <f>(Table1[[#This Row],[Profit]]/Table1[[#This Row],[Sales_Amount]])*100</f>
        <v>35.237613132111946</v>
      </c>
      <c r="M187" s="4" t="str" cm="1">
        <f t="array" ref="M187">_xlfn.IFS(Table1[[#This Row],[Sales_Amount]]&gt;200000,"High",AND(Table1[[#This Row],[Sales_Amount]]&gt;100000,Table1[[#This Row],[Sales_Amount]]&lt;200000),"Medium",Table1[[#This Row],[Sales_Amount]]&lt;100000,"Low")</f>
        <v>High</v>
      </c>
      <c r="N187" t="str">
        <f>TEXT(Table1[[#This Row],[Order_Date]],"MMMM")</f>
        <v>December</v>
      </c>
      <c r="O187">
        <f>YEAR(Table1[[#This Row],[Order_Date]])</f>
        <v>2025</v>
      </c>
    </row>
    <row r="188" spans="1:15" x14ac:dyDescent="0.3">
      <c r="A188" t="s">
        <v>219</v>
      </c>
      <c r="B188" s="1">
        <v>46007</v>
      </c>
      <c r="C188" t="s">
        <v>40</v>
      </c>
      <c r="D188" t="s">
        <v>29</v>
      </c>
      <c r="E188" t="s">
        <v>32</v>
      </c>
      <c r="F188" s="3">
        <v>10</v>
      </c>
      <c r="G188" s="4">
        <v>3931</v>
      </c>
      <c r="H188" s="4">
        <v>39310</v>
      </c>
      <c r="I188" s="4">
        <v>32893.35</v>
      </c>
      <c r="J188" s="4">
        <v>6416.65</v>
      </c>
      <c r="K188" t="s">
        <v>26</v>
      </c>
      <c r="L188" s="3">
        <f>(Table1[[#This Row],[Profit]]/Table1[[#This Row],[Sales_Amount]])*100</f>
        <v>16.323200203510556</v>
      </c>
      <c r="M188" s="4" t="str" cm="1">
        <f t="array" ref="M188">_xlfn.IFS(Table1[[#This Row],[Sales_Amount]]&gt;200000,"High",AND(Table1[[#This Row],[Sales_Amount]]&gt;100000,Table1[[#This Row],[Sales_Amount]]&lt;200000),"Medium",Table1[[#This Row],[Sales_Amount]]&lt;100000,"Low")</f>
        <v>Low</v>
      </c>
      <c r="N188" t="str">
        <f>TEXT(Table1[[#This Row],[Order_Date]],"MMMM")</f>
        <v>December</v>
      </c>
      <c r="O188">
        <f>YEAR(Table1[[#This Row],[Order_Date]])</f>
        <v>2025</v>
      </c>
    </row>
    <row r="189" spans="1:15" x14ac:dyDescent="0.3">
      <c r="A189" t="s">
        <v>220</v>
      </c>
      <c r="B189" s="1">
        <v>46008</v>
      </c>
      <c r="C189" t="s">
        <v>12</v>
      </c>
      <c r="D189" t="s">
        <v>34</v>
      </c>
      <c r="E189" t="s">
        <v>25</v>
      </c>
      <c r="F189" s="3">
        <v>7</v>
      </c>
      <c r="G189" s="4">
        <v>19121</v>
      </c>
      <c r="H189" s="4">
        <v>133847</v>
      </c>
      <c r="I189" s="4">
        <v>90426.86</v>
      </c>
      <c r="J189" s="4">
        <v>43420.14</v>
      </c>
      <c r="K189" t="s">
        <v>15</v>
      </c>
      <c r="L189" s="3">
        <f>(Table1[[#This Row],[Profit]]/Table1[[#This Row],[Sales_Amount]])*100</f>
        <v>32.440129401480796</v>
      </c>
      <c r="M189" s="4" t="str" cm="1">
        <f t="array" ref="M189">_xlfn.IFS(Table1[[#This Row],[Sales_Amount]]&gt;200000,"High",AND(Table1[[#This Row],[Sales_Amount]]&gt;100000,Table1[[#This Row],[Sales_Amount]]&lt;200000),"Medium",Table1[[#This Row],[Sales_Amount]]&lt;100000,"Low")</f>
        <v>Medium</v>
      </c>
      <c r="N189" t="str">
        <f>TEXT(Table1[[#This Row],[Order_Date]],"MMMM")</f>
        <v>December</v>
      </c>
      <c r="O189">
        <f>YEAR(Table1[[#This Row],[Order_Date]])</f>
        <v>2025</v>
      </c>
    </row>
    <row r="190" spans="1:15" x14ac:dyDescent="0.3">
      <c r="A190" t="s">
        <v>221</v>
      </c>
      <c r="B190" s="1">
        <v>46009</v>
      </c>
      <c r="C190" t="s">
        <v>28</v>
      </c>
      <c r="D190" t="s">
        <v>13</v>
      </c>
      <c r="E190" t="s">
        <v>19</v>
      </c>
      <c r="F190" s="3">
        <v>3</v>
      </c>
      <c r="G190" s="4">
        <v>23425</v>
      </c>
      <c r="H190" s="4">
        <v>70275</v>
      </c>
      <c r="I190" s="4">
        <v>48705.46</v>
      </c>
      <c r="J190" s="4">
        <v>21569.54</v>
      </c>
      <c r="K190" t="s">
        <v>15</v>
      </c>
      <c r="L190" s="3">
        <f>(Table1[[#This Row],[Profit]]/Table1[[#This Row],[Sales_Amount]])*100</f>
        <v>30.693048737104235</v>
      </c>
      <c r="M190" s="4" t="str" cm="1">
        <f t="array" ref="M190">_xlfn.IFS(Table1[[#This Row],[Sales_Amount]]&gt;200000,"High",AND(Table1[[#This Row],[Sales_Amount]]&gt;100000,Table1[[#This Row],[Sales_Amount]]&lt;200000),"Medium",Table1[[#This Row],[Sales_Amount]]&lt;100000,"Low")</f>
        <v>Low</v>
      </c>
      <c r="N190" t="str">
        <f>TEXT(Table1[[#This Row],[Order_Date]],"MMMM")</f>
        <v>December</v>
      </c>
      <c r="O190">
        <f>YEAR(Table1[[#This Row],[Order_Date]])</f>
        <v>2025</v>
      </c>
    </row>
    <row r="191" spans="1:15" x14ac:dyDescent="0.3">
      <c r="A191" t="s">
        <v>222</v>
      </c>
      <c r="B191" s="1">
        <v>46010</v>
      </c>
      <c r="C191" t="s">
        <v>12</v>
      </c>
      <c r="D191" t="s">
        <v>29</v>
      </c>
      <c r="E191" t="s">
        <v>25</v>
      </c>
      <c r="F191" s="3">
        <v>7</v>
      </c>
      <c r="G191" s="4">
        <v>42671</v>
      </c>
      <c r="H191" s="4">
        <v>298697</v>
      </c>
      <c r="I191" s="4">
        <v>250158.32</v>
      </c>
      <c r="J191" s="4">
        <v>48538.68</v>
      </c>
      <c r="K191" t="s">
        <v>58</v>
      </c>
      <c r="L191" s="3">
        <f>(Table1[[#This Row],[Profit]]/Table1[[#This Row],[Sales_Amount]])*100</f>
        <v>16.250139773750657</v>
      </c>
      <c r="M191" s="4" t="str" cm="1">
        <f t="array" ref="M191">_xlfn.IFS(Table1[[#This Row],[Sales_Amount]]&gt;200000,"High",AND(Table1[[#This Row],[Sales_Amount]]&gt;100000,Table1[[#This Row],[Sales_Amount]]&lt;200000),"Medium",Table1[[#This Row],[Sales_Amount]]&lt;100000,"Low")</f>
        <v>High</v>
      </c>
      <c r="N191" t="str">
        <f>TEXT(Table1[[#This Row],[Order_Date]],"MMMM")</f>
        <v>December</v>
      </c>
      <c r="O191">
        <f>YEAR(Table1[[#This Row],[Order_Date]])</f>
        <v>2025</v>
      </c>
    </row>
    <row r="192" spans="1:15" x14ac:dyDescent="0.3">
      <c r="A192" t="s">
        <v>223</v>
      </c>
      <c r="B192" s="1">
        <v>46011</v>
      </c>
      <c r="C192" t="s">
        <v>12</v>
      </c>
      <c r="D192" t="s">
        <v>34</v>
      </c>
      <c r="E192" t="s">
        <v>32</v>
      </c>
      <c r="F192" s="3">
        <v>1</v>
      </c>
      <c r="G192" s="4">
        <v>24263</v>
      </c>
      <c r="H192" s="4">
        <v>24263</v>
      </c>
      <c r="I192" s="4">
        <v>16806.009999999998</v>
      </c>
      <c r="J192" s="4">
        <v>7456.99</v>
      </c>
      <c r="K192" t="s">
        <v>58</v>
      </c>
      <c r="L192" s="3">
        <f>(Table1[[#This Row],[Profit]]/Table1[[#This Row],[Sales_Amount]])*100</f>
        <v>30.733998268969209</v>
      </c>
      <c r="M192" s="4" t="str" cm="1">
        <f t="array" ref="M192">_xlfn.IFS(Table1[[#This Row],[Sales_Amount]]&gt;200000,"High",AND(Table1[[#This Row],[Sales_Amount]]&gt;100000,Table1[[#This Row],[Sales_Amount]]&lt;200000),"Medium",Table1[[#This Row],[Sales_Amount]]&lt;100000,"Low")</f>
        <v>Low</v>
      </c>
      <c r="N192" t="str">
        <f>TEXT(Table1[[#This Row],[Order_Date]],"MMMM")</f>
        <v>December</v>
      </c>
      <c r="O192">
        <f>YEAR(Table1[[#This Row],[Order_Date]])</f>
        <v>2025</v>
      </c>
    </row>
    <row r="193" spans="1:15" x14ac:dyDescent="0.3">
      <c r="A193" t="s">
        <v>224</v>
      </c>
      <c r="B193" s="1">
        <v>46012</v>
      </c>
      <c r="C193" t="s">
        <v>17</v>
      </c>
      <c r="D193" t="s">
        <v>18</v>
      </c>
      <c r="E193" t="s">
        <v>22</v>
      </c>
      <c r="F193" s="3">
        <v>3</v>
      </c>
      <c r="G193" s="4">
        <v>10654</v>
      </c>
      <c r="H193" s="4">
        <v>31962</v>
      </c>
      <c r="I193" s="4">
        <v>19917.11</v>
      </c>
      <c r="J193" s="4">
        <v>12044.89</v>
      </c>
      <c r="K193" t="s">
        <v>26</v>
      </c>
      <c r="L193" s="3">
        <f>(Table1[[#This Row],[Profit]]/Table1[[#This Row],[Sales_Amount]])*100</f>
        <v>37.685032225768097</v>
      </c>
      <c r="M193" s="4" t="str" cm="1">
        <f t="array" ref="M193">_xlfn.IFS(Table1[[#This Row],[Sales_Amount]]&gt;200000,"High",AND(Table1[[#This Row],[Sales_Amount]]&gt;100000,Table1[[#This Row],[Sales_Amount]]&lt;200000),"Medium",Table1[[#This Row],[Sales_Amount]]&lt;100000,"Low")</f>
        <v>Low</v>
      </c>
      <c r="N193" t="str">
        <f>TEXT(Table1[[#This Row],[Order_Date]],"MMMM")</f>
        <v>December</v>
      </c>
      <c r="O193">
        <f>YEAR(Table1[[#This Row],[Order_Date]])</f>
        <v>2025</v>
      </c>
    </row>
    <row r="194" spans="1:15" x14ac:dyDescent="0.3">
      <c r="A194" t="s">
        <v>225</v>
      </c>
      <c r="B194" s="1">
        <v>46013</v>
      </c>
      <c r="C194" t="s">
        <v>12</v>
      </c>
      <c r="D194" t="s">
        <v>13</v>
      </c>
      <c r="E194" t="s">
        <v>22</v>
      </c>
      <c r="F194" s="3">
        <v>10</v>
      </c>
      <c r="G194" s="4">
        <v>25188</v>
      </c>
      <c r="H194" s="4">
        <v>251880</v>
      </c>
      <c r="I194" s="4">
        <v>162783.96</v>
      </c>
      <c r="J194" s="4">
        <v>89096.04</v>
      </c>
      <c r="K194" t="s">
        <v>58</v>
      </c>
      <c r="L194" s="3">
        <f>(Table1[[#This Row],[Profit]]/Table1[[#This Row],[Sales_Amount]])*100</f>
        <v>35.372415435921866</v>
      </c>
      <c r="M194" s="4" t="str" cm="1">
        <f t="array" ref="M194">_xlfn.IFS(Table1[[#This Row],[Sales_Amount]]&gt;200000,"High",AND(Table1[[#This Row],[Sales_Amount]]&gt;100000,Table1[[#This Row],[Sales_Amount]]&lt;200000),"Medium",Table1[[#This Row],[Sales_Amount]]&lt;100000,"Low")</f>
        <v>High</v>
      </c>
      <c r="N194" t="str">
        <f>TEXT(Table1[[#This Row],[Order_Date]],"MMMM")</f>
        <v>December</v>
      </c>
      <c r="O194">
        <f>YEAR(Table1[[#This Row],[Order_Date]])</f>
        <v>2025</v>
      </c>
    </row>
    <row r="195" spans="1:15" x14ac:dyDescent="0.3">
      <c r="A195" t="s">
        <v>226</v>
      </c>
      <c r="B195" s="1">
        <v>46014</v>
      </c>
      <c r="C195" t="s">
        <v>28</v>
      </c>
      <c r="D195" t="s">
        <v>44</v>
      </c>
      <c r="E195" t="s">
        <v>37</v>
      </c>
      <c r="F195" s="3">
        <v>6</v>
      </c>
      <c r="G195" s="4">
        <v>44826</v>
      </c>
      <c r="H195" s="4">
        <v>268956</v>
      </c>
      <c r="I195" s="4">
        <v>219434.67</v>
      </c>
      <c r="J195" s="4">
        <v>49521.33</v>
      </c>
      <c r="K195" t="s">
        <v>58</v>
      </c>
      <c r="L195" s="3">
        <f>(Table1[[#This Row],[Profit]]/Table1[[#This Row],[Sales_Amount]])*100</f>
        <v>18.412428055146567</v>
      </c>
      <c r="M195" s="4" t="str" cm="1">
        <f t="array" ref="M195">_xlfn.IFS(Table1[[#This Row],[Sales_Amount]]&gt;200000,"High",AND(Table1[[#This Row],[Sales_Amount]]&gt;100000,Table1[[#This Row],[Sales_Amount]]&lt;200000),"Medium",Table1[[#This Row],[Sales_Amount]]&lt;100000,"Low")</f>
        <v>High</v>
      </c>
      <c r="N195" t="str">
        <f>TEXT(Table1[[#This Row],[Order_Date]],"MMMM")</f>
        <v>December</v>
      </c>
      <c r="O195">
        <f>YEAR(Table1[[#This Row],[Order_Date]])</f>
        <v>2025</v>
      </c>
    </row>
    <row r="196" spans="1:15" x14ac:dyDescent="0.3">
      <c r="A196" t="s">
        <v>227</v>
      </c>
      <c r="B196" s="1">
        <v>46015</v>
      </c>
      <c r="C196" t="s">
        <v>28</v>
      </c>
      <c r="D196" t="s">
        <v>51</v>
      </c>
      <c r="E196" t="s">
        <v>25</v>
      </c>
      <c r="F196" s="3">
        <v>4</v>
      </c>
      <c r="G196" s="4">
        <v>20781</v>
      </c>
      <c r="H196" s="4">
        <v>83124</v>
      </c>
      <c r="I196" s="4">
        <v>73953.679999999993</v>
      </c>
      <c r="J196" s="4">
        <v>9170.32</v>
      </c>
      <c r="K196" t="s">
        <v>26</v>
      </c>
      <c r="L196" s="3">
        <f>(Table1[[#This Row],[Profit]]/Table1[[#This Row],[Sales_Amount]])*100</f>
        <v>11.032096626726336</v>
      </c>
      <c r="M196" s="4" t="str" cm="1">
        <f t="array" ref="M196">_xlfn.IFS(Table1[[#This Row],[Sales_Amount]]&gt;200000,"High",AND(Table1[[#This Row],[Sales_Amount]]&gt;100000,Table1[[#This Row],[Sales_Amount]]&lt;200000),"Medium",Table1[[#This Row],[Sales_Amount]]&lt;100000,"Low")</f>
        <v>Low</v>
      </c>
      <c r="N196" t="str">
        <f>TEXT(Table1[[#This Row],[Order_Date]],"MMMM")</f>
        <v>December</v>
      </c>
      <c r="O196">
        <f>YEAR(Table1[[#This Row],[Order_Date]])</f>
        <v>2025</v>
      </c>
    </row>
    <row r="197" spans="1:15" x14ac:dyDescent="0.3">
      <c r="A197" t="s">
        <v>228</v>
      </c>
      <c r="B197" s="1">
        <v>46016</v>
      </c>
      <c r="C197" t="s">
        <v>28</v>
      </c>
      <c r="D197" t="s">
        <v>21</v>
      </c>
      <c r="E197" t="s">
        <v>25</v>
      </c>
      <c r="F197" s="3">
        <v>8</v>
      </c>
      <c r="G197" s="4">
        <v>30756</v>
      </c>
      <c r="H197" s="4">
        <v>246048</v>
      </c>
      <c r="I197" s="4">
        <v>204424.45</v>
      </c>
      <c r="J197" s="4">
        <v>41623.550000000003</v>
      </c>
      <c r="K197" t="s">
        <v>23</v>
      </c>
      <c r="L197" s="3">
        <f>(Table1[[#This Row],[Profit]]/Table1[[#This Row],[Sales_Amount]])*100</f>
        <v>16.916841429314605</v>
      </c>
      <c r="M197" s="4" t="str" cm="1">
        <f t="array" ref="M197">_xlfn.IFS(Table1[[#This Row],[Sales_Amount]]&gt;200000,"High",AND(Table1[[#This Row],[Sales_Amount]]&gt;100000,Table1[[#This Row],[Sales_Amount]]&lt;200000),"Medium",Table1[[#This Row],[Sales_Amount]]&lt;100000,"Low")</f>
        <v>High</v>
      </c>
      <c r="N197" t="str">
        <f>TEXT(Table1[[#This Row],[Order_Date]],"MMMM")</f>
        <v>December</v>
      </c>
      <c r="O197">
        <f>YEAR(Table1[[#This Row],[Order_Date]])</f>
        <v>2025</v>
      </c>
    </row>
    <row r="198" spans="1:15" x14ac:dyDescent="0.3">
      <c r="A198" t="s">
        <v>229</v>
      </c>
      <c r="B198" s="1">
        <v>46017</v>
      </c>
      <c r="C198" t="s">
        <v>28</v>
      </c>
      <c r="D198" t="s">
        <v>34</v>
      </c>
      <c r="E198" t="s">
        <v>25</v>
      </c>
      <c r="F198" s="3">
        <v>3</v>
      </c>
      <c r="G198" s="4">
        <v>16884</v>
      </c>
      <c r="H198" s="4">
        <v>50652</v>
      </c>
      <c r="I198" s="4">
        <v>31184.1</v>
      </c>
      <c r="J198" s="4">
        <v>19467.900000000001</v>
      </c>
      <c r="K198" t="s">
        <v>15</v>
      </c>
      <c r="L198" s="3">
        <f>(Table1[[#This Row],[Profit]]/Table1[[#This Row],[Sales_Amount]])*100</f>
        <v>38.434612651030562</v>
      </c>
      <c r="M198" s="4" t="str" cm="1">
        <f t="array" ref="M198">_xlfn.IFS(Table1[[#This Row],[Sales_Amount]]&gt;200000,"High",AND(Table1[[#This Row],[Sales_Amount]]&gt;100000,Table1[[#This Row],[Sales_Amount]]&lt;200000),"Medium",Table1[[#This Row],[Sales_Amount]]&lt;100000,"Low")</f>
        <v>Low</v>
      </c>
      <c r="N198" t="str">
        <f>TEXT(Table1[[#This Row],[Order_Date]],"MMMM")</f>
        <v>December</v>
      </c>
      <c r="O198">
        <f>YEAR(Table1[[#This Row],[Order_Date]])</f>
        <v>2025</v>
      </c>
    </row>
    <row r="199" spans="1:15" x14ac:dyDescent="0.3">
      <c r="A199" t="s">
        <v>230</v>
      </c>
      <c r="B199" s="1">
        <v>46018</v>
      </c>
      <c r="C199" t="s">
        <v>40</v>
      </c>
      <c r="D199" t="s">
        <v>56</v>
      </c>
      <c r="E199" t="s">
        <v>14</v>
      </c>
      <c r="F199" s="3">
        <v>5</v>
      </c>
      <c r="G199" s="4">
        <v>5996</v>
      </c>
      <c r="H199" s="4">
        <v>29980</v>
      </c>
      <c r="I199" s="4">
        <v>24851.47</v>
      </c>
      <c r="J199" s="4">
        <v>5128.53</v>
      </c>
      <c r="K199" t="s">
        <v>23</v>
      </c>
      <c r="L199" s="3">
        <f>(Table1[[#This Row],[Profit]]/Table1[[#This Row],[Sales_Amount]])*100</f>
        <v>17.106504336224148</v>
      </c>
      <c r="M199" s="4" t="str" cm="1">
        <f t="array" ref="M199">_xlfn.IFS(Table1[[#This Row],[Sales_Amount]]&gt;200000,"High",AND(Table1[[#This Row],[Sales_Amount]]&gt;100000,Table1[[#This Row],[Sales_Amount]]&lt;200000),"Medium",Table1[[#This Row],[Sales_Amount]]&lt;100000,"Low")</f>
        <v>Low</v>
      </c>
      <c r="N199" t="str">
        <f>TEXT(Table1[[#This Row],[Order_Date]],"MMMM")</f>
        <v>December</v>
      </c>
      <c r="O199">
        <f>YEAR(Table1[[#This Row],[Order_Date]])</f>
        <v>2025</v>
      </c>
    </row>
    <row r="200" spans="1:15" x14ac:dyDescent="0.3">
      <c r="A200" t="s">
        <v>231</v>
      </c>
      <c r="B200" s="1">
        <v>46019</v>
      </c>
      <c r="C200" t="s">
        <v>17</v>
      </c>
      <c r="D200" t="s">
        <v>21</v>
      </c>
      <c r="E200" t="s">
        <v>14</v>
      </c>
      <c r="F200" s="3">
        <v>4</v>
      </c>
      <c r="G200" s="4">
        <v>30065</v>
      </c>
      <c r="H200" s="4">
        <v>120260</v>
      </c>
      <c r="I200" s="4">
        <v>104071.67</v>
      </c>
      <c r="J200" s="4">
        <v>16188.33</v>
      </c>
      <c r="K200" t="s">
        <v>15</v>
      </c>
      <c r="L200" s="3">
        <f>(Table1[[#This Row],[Profit]]/Table1[[#This Row],[Sales_Amount]])*100</f>
        <v>13.46110926326293</v>
      </c>
      <c r="M200" s="4" t="str" cm="1">
        <f t="array" ref="M200">_xlfn.IFS(Table1[[#This Row],[Sales_Amount]]&gt;200000,"High",AND(Table1[[#This Row],[Sales_Amount]]&gt;100000,Table1[[#This Row],[Sales_Amount]]&lt;200000),"Medium",Table1[[#This Row],[Sales_Amount]]&lt;100000,"Low")</f>
        <v>Medium</v>
      </c>
      <c r="N200" t="str">
        <f>TEXT(Table1[[#This Row],[Order_Date]],"MMMM")</f>
        <v>December</v>
      </c>
      <c r="O200">
        <f>YEAR(Table1[[#This Row],[Order_Date]])</f>
        <v>2025</v>
      </c>
    </row>
    <row r="201" spans="1:15" x14ac:dyDescent="0.3">
      <c r="A201" t="s">
        <v>232</v>
      </c>
      <c r="B201" s="1">
        <v>46020</v>
      </c>
      <c r="C201" t="s">
        <v>17</v>
      </c>
      <c r="D201" t="s">
        <v>34</v>
      </c>
      <c r="E201" t="s">
        <v>25</v>
      </c>
      <c r="F201" s="3">
        <v>6</v>
      </c>
      <c r="G201" s="4">
        <v>15951</v>
      </c>
      <c r="H201" s="4">
        <v>95706</v>
      </c>
      <c r="I201" s="4">
        <v>68511.12</v>
      </c>
      <c r="J201" s="4">
        <v>27194.880000000001</v>
      </c>
      <c r="K201" t="s">
        <v>23</v>
      </c>
      <c r="L201" s="3">
        <f>(Table1[[#This Row],[Profit]]/Table1[[#This Row],[Sales_Amount]])*100</f>
        <v>28.415021001818069</v>
      </c>
      <c r="M201" s="4" t="str" cm="1">
        <f t="array" ref="M201">_xlfn.IFS(Table1[[#This Row],[Sales_Amount]]&gt;200000,"High",AND(Table1[[#This Row],[Sales_Amount]]&gt;100000,Table1[[#This Row],[Sales_Amount]]&lt;200000),"Medium",Table1[[#This Row],[Sales_Amount]]&lt;100000,"Low")</f>
        <v>Low</v>
      </c>
      <c r="N201" t="str">
        <f>TEXT(Table1[[#This Row],[Order_Date]],"MMMM")</f>
        <v>December</v>
      </c>
      <c r="O201">
        <f>YEAR(Table1[[#This Row],[Order_Date]])</f>
        <v>2025</v>
      </c>
    </row>
    <row r="202" spans="1:15" x14ac:dyDescent="0.3">
      <c r="A202" t="s">
        <v>233</v>
      </c>
      <c r="B202" s="1">
        <v>46021</v>
      </c>
      <c r="C202" t="s">
        <v>12</v>
      </c>
      <c r="D202" t="s">
        <v>13</v>
      </c>
      <c r="E202" t="s">
        <v>32</v>
      </c>
      <c r="F202" s="3">
        <v>2</v>
      </c>
      <c r="G202" s="4">
        <v>47338</v>
      </c>
      <c r="H202" s="4">
        <v>94676</v>
      </c>
      <c r="I202" s="4">
        <v>75266.3</v>
      </c>
      <c r="J202" s="4">
        <v>19409.7</v>
      </c>
      <c r="K202" t="s">
        <v>15</v>
      </c>
      <c r="L202" s="3">
        <f>(Table1[[#This Row],[Profit]]/Table1[[#This Row],[Sales_Amount]])*100</f>
        <v>20.501182981959527</v>
      </c>
      <c r="M202" s="4" t="str" cm="1">
        <f t="array" ref="M202">_xlfn.IFS(Table1[[#This Row],[Sales_Amount]]&gt;200000,"High",AND(Table1[[#This Row],[Sales_Amount]]&gt;100000,Table1[[#This Row],[Sales_Amount]]&lt;200000),"Medium",Table1[[#This Row],[Sales_Amount]]&lt;100000,"Low")</f>
        <v>Low</v>
      </c>
      <c r="N202" t="str">
        <f>TEXT(Table1[[#This Row],[Order_Date]],"MMMM")</f>
        <v>December</v>
      </c>
      <c r="O202">
        <f>YEAR(Table1[[#This Row],[Order_Date]])</f>
        <v>2025</v>
      </c>
    </row>
    <row r="203" spans="1:15" x14ac:dyDescent="0.3">
      <c r="A203" t="s">
        <v>234</v>
      </c>
      <c r="B203" s="1">
        <v>46022</v>
      </c>
      <c r="C203" t="s">
        <v>17</v>
      </c>
      <c r="D203" t="s">
        <v>29</v>
      </c>
      <c r="E203" t="s">
        <v>37</v>
      </c>
      <c r="F203" s="3">
        <v>3</v>
      </c>
      <c r="G203" s="4">
        <v>46738</v>
      </c>
      <c r="H203" s="4">
        <v>140214</v>
      </c>
      <c r="I203" s="4">
        <v>103861.14</v>
      </c>
      <c r="J203" s="4">
        <v>36352.86</v>
      </c>
      <c r="K203" t="s">
        <v>15</v>
      </c>
      <c r="L203" s="3">
        <f>(Table1[[#This Row],[Profit]]/Table1[[#This Row],[Sales_Amount]])*100</f>
        <v>25.926697761992383</v>
      </c>
      <c r="M203" s="4" t="str" cm="1">
        <f t="array" ref="M203">_xlfn.IFS(Table1[[#This Row],[Sales_Amount]]&gt;200000,"High",AND(Table1[[#This Row],[Sales_Amount]]&gt;100000,Table1[[#This Row],[Sales_Amount]]&lt;200000),"Medium",Table1[[#This Row],[Sales_Amount]]&lt;100000,"Low")</f>
        <v>Medium</v>
      </c>
      <c r="N203" t="str">
        <f>TEXT(Table1[[#This Row],[Order_Date]],"MMMM")</f>
        <v>December</v>
      </c>
      <c r="O203">
        <f>YEAR(Table1[[#This Row],[Order_Date]])</f>
        <v>2025</v>
      </c>
    </row>
    <row r="204" spans="1:15" x14ac:dyDescent="0.3">
      <c r="A204" t="s">
        <v>235</v>
      </c>
      <c r="B204" s="1">
        <v>46023</v>
      </c>
      <c r="C204" t="s">
        <v>28</v>
      </c>
      <c r="D204" t="s">
        <v>29</v>
      </c>
      <c r="E204" t="s">
        <v>22</v>
      </c>
      <c r="F204" s="3">
        <v>3</v>
      </c>
      <c r="G204" s="4">
        <v>36466</v>
      </c>
      <c r="H204" s="4">
        <v>109398</v>
      </c>
      <c r="I204" s="4">
        <v>96496.45</v>
      </c>
      <c r="J204" s="4">
        <v>12901.55</v>
      </c>
      <c r="K204" t="s">
        <v>26</v>
      </c>
      <c r="L204" s="3">
        <f>(Table1[[#This Row],[Profit]]/Table1[[#This Row],[Sales_Amount]])*100</f>
        <v>11.793222910839321</v>
      </c>
      <c r="M204" s="4" t="str" cm="1">
        <f t="array" ref="M204">_xlfn.IFS(Table1[[#This Row],[Sales_Amount]]&gt;200000,"High",AND(Table1[[#This Row],[Sales_Amount]]&gt;100000,Table1[[#This Row],[Sales_Amount]]&lt;200000),"Medium",Table1[[#This Row],[Sales_Amount]]&lt;100000,"Low")</f>
        <v>Medium</v>
      </c>
      <c r="N204" t="str">
        <f>TEXT(Table1[[#This Row],[Order_Date]],"MMMM")</f>
        <v>January</v>
      </c>
      <c r="O204">
        <f>YEAR(Table1[[#This Row],[Order_Date]])</f>
        <v>2026</v>
      </c>
    </row>
    <row r="205" spans="1:15" x14ac:dyDescent="0.3">
      <c r="A205" t="s">
        <v>236</v>
      </c>
      <c r="B205" s="1">
        <v>46024</v>
      </c>
      <c r="C205" t="s">
        <v>28</v>
      </c>
      <c r="D205" t="s">
        <v>29</v>
      </c>
      <c r="E205" t="s">
        <v>32</v>
      </c>
      <c r="F205" s="3">
        <v>2</v>
      </c>
      <c r="G205" s="4">
        <v>3629</v>
      </c>
      <c r="H205" s="4">
        <v>7258</v>
      </c>
      <c r="I205" s="4">
        <v>4873.9799999999996</v>
      </c>
      <c r="J205" s="4">
        <v>2384.02</v>
      </c>
      <c r="K205" t="s">
        <v>15</v>
      </c>
      <c r="L205" s="3">
        <f>(Table1[[#This Row],[Profit]]/Table1[[#This Row],[Sales_Amount]])*100</f>
        <v>32.84678974924222</v>
      </c>
      <c r="M205" s="4" t="str" cm="1">
        <f t="array" ref="M205">_xlfn.IFS(Table1[[#This Row],[Sales_Amount]]&gt;200000,"High",AND(Table1[[#This Row],[Sales_Amount]]&gt;100000,Table1[[#This Row],[Sales_Amount]]&lt;200000),"Medium",Table1[[#This Row],[Sales_Amount]]&lt;100000,"Low")</f>
        <v>Low</v>
      </c>
      <c r="N205" t="str">
        <f>TEXT(Table1[[#This Row],[Order_Date]],"MMMM")</f>
        <v>January</v>
      </c>
      <c r="O205">
        <f>YEAR(Table1[[#This Row],[Order_Date]])</f>
        <v>2026</v>
      </c>
    </row>
    <row r="206" spans="1:15" x14ac:dyDescent="0.3">
      <c r="A206" t="s">
        <v>237</v>
      </c>
      <c r="B206" s="1">
        <v>46025</v>
      </c>
      <c r="C206" t="s">
        <v>12</v>
      </c>
      <c r="D206" t="s">
        <v>13</v>
      </c>
      <c r="E206" t="s">
        <v>25</v>
      </c>
      <c r="F206" s="3">
        <v>9</v>
      </c>
      <c r="G206" s="4">
        <v>1577</v>
      </c>
      <c r="H206" s="4">
        <v>14193</v>
      </c>
      <c r="I206" s="4">
        <v>11206.6</v>
      </c>
      <c r="J206" s="4">
        <v>2986.4</v>
      </c>
      <c r="K206" t="s">
        <v>26</v>
      </c>
      <c r="L206" s="3">
        <f>(Table1[[#This Row],[Profit]]/Table1[[#This Row],[Sales_Amount]])*100</f>
        <v>21.041358416120623</v>
      </c>
      <c r="M206" s="4" t="str" cm="1">
        <f t="array" ref="M206">_xlfn.IFS(Table1[[#This Row],[Sales_Amount]]&gt;200000,"High",AND(Table1[[#This Row],[Sales_Amount]]&gt;100000,Table1[[#This Row],[Sales_Amount]]&lt;200000),"Medium",Table1[[#This Row],[Sales_Amount]]&lt;100000,"Low")</f>
        <v>Low</v>
      </c>
      <c r="N206" t="str">
        <f>TEXT(Table1[[#This Row],[Order_Date]],"MMMM")</f>
        <v>January</v>
      </c>
      <c r="O206">
        <f>YEAR(Table1[[#This Row],[Order_Date]])</f>
        <v>2026</v>
      </c>
    </row>
    <row r="207" spans="1:15" x14ac:dyDescent="0.3">
      <c r="A207" t="s">
        <v>238</v>
      </c>
      <c r="B207" s="1">
        <v>46026</v>
      </c>
      <c r="C207" t="s">
        <v>28</v>
      </c>
      <c r="D207" t="s">
        <v>13</v>
      </c>
      <c r="E207" t="s">
        <v>14</v>
      </c>
      <c r="F207" s="3">
        <v>10</v>
      </c>
      <c r="G207" s="4">
        <v>23622</v>
      </c>
      <c r="H207" s="4">
        <v>236220</v>
      </c>
      <c r="I207" s="4">
        <v>158779.82999999999</v>
      </c>
      <c r="J207" s="4">
        <v>77440.17</v>
      </c>
      <c r="K207" t="s">
        <v>15</v>
      </c>
      <c r="L207" s="3">
        <f>(Table1[[#This Row],[Profit]]/Table1[[#This Row],[Sales_Amount]])*100</f>
        <v>32.783070866141735</v>
      </c>
      <c r="M207" s="4" t="str" cm="1">
        <f t="array" ref="M207">_xlfn.IFS(Table1[[#This Row],[Sales_Amount]]&gt;200000,"High",AND(Table1[[#This Row],[Sales_Amount]]&gt;100000,Table1[[#This Row],[Sales_Amount]]&lt;200000),"Medium",Table1[[#This Row],[Sales_Amount]]&lt;100000,"Low")</f>
        <v>High</v>
      </c>
      <c r="N207" t="str">
        <f>TEXT(Table1[[#This Row],[Order_Date]],"MMMM")</f>
        <v>January</v>
      </c>
      <c r="O207">
        <f>YEAR(Table1[[#This Row],[Order_Date]])</f>
        <v>2026</v>
      </c>
    </row>
    <row r="208" spans="1:15" x14ac:dyDescent="0.3">
      <c r="A208" t="s">
        <v>239</v>
      </c>
      <c r="B208" s="1">
        <v>46027</v>
      </c>
      <c r="C208" t="s">
        <v>17</v>
      </c>
      <c r="D208" t="s">
        <v>21</v>
      </c>
      <c r="E208" t="s">
        <v>32</v>
      </c>
      <c r="F208" s="3">
        <v>2</v>
      </c>
      <c r="G208" s="4">
        <v>34975</v>
      </c>
      <c r="H208" s="4">
        <v>69950</v>
      </c>
      <c r="I208" s="4">
        <v>53387.56</v>
      </c>
      <c r="J208" s="4">
        <v>16562.439999999999</v>
      </c>
      <c r="K208" t="s">
        <v>58</v>
      </c>
      <c r="L208" s="3">
        <f>(Table1[[#This Row],[Profit]]/Table1[[#This Row],[Sales_Amount]])*100</f>
        <v>23.677541100786271</v>
      </c>
      <c r="M208" s="4" t="str" cm="1">
        <f t="array" ref="M208">_xlfn.IFS(Table1[[#This Row],[Sales_Amount]]&gt;200000,"High",AND(Table1[[#This Row],[Sales_Amount]]&gt;100000,Table1[[#This Row],[Sales_Amount]]&lt;200000),"Medium",Table1[[#This Row],[Sales_Amount]]&lt;100000,"Low")</f>
        <v>Low</v>
      </c>
      <c r="N208" t="str">
        <f>TEXT(Table1[[#This Row],[Order_Date]],"MMMM")</f>
        <v>January</v>
      </c>
      <c r="O208">
        <f>YEAR(Table1[[#This Row],[Order_Date]])</f>
        <v>2026</v>
      </c>
    </row>
    <row r="209" spans="1:15" x14ac:dyDescent="0.3">
      <c r="A209" t="s">
        <v>240</v>
      </c>
      <c r="B209" s="1">
        <v>46028</v>
      </c>
      <c r="C209" t="s">
        <v>17</v>
      </c>
      <c r="D209" t="s">
        <v>34</v>
      </c>
      <c r="E209" t="s">
        <v>19</v>
      </c>
      <c r="F209" s="3">
        <v>7</v>
      </c>
      <c r="G209" s="4">
        <v>24964</v>
      </c>
      <c r="H209" s="4">
        <v>174748</v>
      </c>
      <c r="I209" s="4">
        <v>118146.26</v>
      </c>
      <c r="J209" s="4">
        <v>56601.74</v>
      </c>
      <c r="K209" t="s">
        <v>15</v>
      </c>
      <c r="L209" s="3">
        <f>(Table1[[#This Row],[Profit]]/Table1[[#This Row],[Sales_Amount]])*100</f>
        <v>32.390493739556383</v>
      </c>
      <c r="M209" s="4" t="str" cm="1">
        <f t="array" ref="M209">_xlfn.IFS(Table1[[#This Row],[Sales_Amount]]&gt;200000,"High",AND(Table1[[#This Row],[Sales_Amount]]&gt;100000,Table1[[#This Row],[Sales_Amount]]&lt;200000),"Medium",Table1[[#This Row],[Sales_Amount]]&lt;100000,"Low")</f>
        <v>Medium</v>
      </c>
      <c r="N209" t="str">
        <f>TEXT(Table1[[#This Row],[Order_Date]],"MMMM")</f>
        <v>January</v>
      </c>
      <c r="O209">
        <f>YEAR(Table1[[#This Row],[Order_Date]])</f>
        <v>2026</v>
      </c>
    </row>
    <row r="210" spans="1:15" x14ac:dyDescent="0.3">
      <c r="A210" t="s">
        <v>241</v>
      </c>
      <c r="B210" s="1">
        <v>46029</v>
      </c>
      <c r="C210" t="s">
        <v>40</v>
      </c>
      <c r="D210" t="s">
        <v>13</v>
      </c>
      <c r="E210" t="s">
        <v>22</v>
      </c>
      <c r="F210" s="3">
        <v>2</v>
      </c>
      <c r="G210" s="4">
        <v>38635</v>
      </c>
      <c r="H210" s="4">
        <v>77270</v>
      </c>
      <c r="I210" s="4">
        <v>63404.37</v>
      </c>
      <c r="J210" s="4">
        <v>13865.63</v>
      </c>
      <c r="K210" t="s">
        <v>15</v>
      </c>
      <c r="L210" s="3">
        <f>(Table1[[#This Row],[Profit]]/Table1[[#This Row],[Sales_Amount]])*100</f>
        <v>17.944389801993012</v>
      </c>
      <c r="M210" s="4" t="str" cm="1">
        <f t="array" ref="M210">_xlfn.IFS(Table1[[#This Row],[Sales_Amount]]&gt;200000,"High",AND(Table1[[#This Row],[Sales_Amount]]&gt;100000,Table1[[#This Row],[Sales_Amount]]&lt;200000),"Medium",Table1[[#This Row],[Sales_Amount]]&lt;100000,"Low")</f>
        <v>Low</v>
      </c>
      <c r="N210" t="str">
        <f>TEXT(Table1[[#This Row],[Order_Date]],"MMMM")</f>
        <v>January</v>
      </c>
      <c r="O210">
        <f>YEAR(Table1[[#This Row],[Order_Date]])</f>
        <v>2026</v>
      </c>
    </row>
    <row r="211" spans="1:15" x14ac:dyDescent="0.3">
      <c r="A211" t="s">
        <v>242</v>
      </c>
      <c r="B211" s="1">
        <v>46030</v>
      </c>
      <c r="C211" t="s">
        <v>28</v>
      </c>
      <c r="D211" t="s">
        <v>56</v>
      </c>
      <c r="E211" t="s">
        <v>25</v>
      </c>
      <c r="F211" s="3">
        <v>6</v>
      </c>
      <c r="G211" s="4">
        <v>42626</v>
      </c>
      <c r="H211" s="4">
        <v>255756</v>
      </c>
      <c r="I211" s="4">
        <v>166887.63</v>
      </c>
      <c r="J211" s="4">
        <v>88868.37</v>
      </c>
      <c r="K211" t="s">
        <v>23</v>
      </c>
      <c r="L211" s="3">
        <f>(Table1[[#This Row],[Profit]]/Table1[[#This Row],[Sales_Amount]])*100</f>
        <v>34.747325575939563</v>
      </c>
      <c r="M211" s="4" t="str" cm="1">
        <f t="array" ref="M211">_xlfn.IFS(Table1[[#This Row],[Sales_Amount]]&gt;200000,"High",AND(Table1[[#This Row],[Sales_Amount]]&gt;100000,Table1[[#This Row],[Sales_Amount]]&lt;200000),"Medium",Table1[[#This Row],[Sales_Amount]]&lt;100000,"Low")</f>
        <v>High</v>
      </c>
      <c r="N211" t="str">
        <f>TEXT(Table1[[#This Row],[Order_Date]],"MMMM")</f>
        <v>January</v>
      </c>
      <c r="O211">
        <f>YEAR(Table1[[#This Row],[Order_Date]])</f>
        <v>2026</v>
      </c>
    </row>
    <row r="212" spans="1:15" x14ac:dyDescent="0.3">
      <c r="A212" t="s">
        <v>243</v>
      </c>
      <c r="B212" s="1">
        <v>46031</v>
      </c>
      <c r="C212" t="s">
        <v>17</v>
      </c>
      <c r="D212" t="s">
        <v>51</v>
      </c>
      <c r="E212" t="s">
        <v>14</v>
      </c>
      <c r="F212" s="3">
        <v>8</v>
      </c>
      <c r="G212" s="4">
        <v>2923</v>
      </c>
      <c r="H212" s="4">
        <v>23384</v>
      </c>
      <c r="I212" s="4">
        <v>16088.96</v>
      </c>
      <c r="J212" s="4">
        <v>7295.04</v>
      </c>
      <c r="K212" t="s">
        <v>15</v>
      </c>
      <c r="L212" s="3">
        <f>(Table1[[#This Row],[Profit]]/Table1[[#This Row],[Sales_Amount]])*100</f>
        <v>31.19671570304482</v>
      </c>
      <c r="M212" s="4" t="str" cm="1">
        <f t="array" ref="M212">_xlfn.IFS(Table1[[#This Row],[Sales_Amount]]&gt;200000,"High",AND(Table1[[#This Row],[Sales_Amount]]&gt;100000,Table1[[#This Row],[Sales_Amount]]&lt;200000),"Medium",Table1[[#This Row],[Sales_Amount]]&lt;100000,"Low")</f>
        <v>Low</v>
      </c>
      <c r="N212" t="str">
        <f>TEXT(Table1[[#This Row],[Order_Date]],"MMMM")</f>
        <v>January</v>
      </c>
      <c r="O212">
        <f>YEAR(Table1[[#This Row],[Order_Date]])</f>
        <v>2026</v>
      </c>
    </row>
    <row r="213" spans="1:15" x14ac:dyDescent="0.3">
      <c r="A213" t="s">
        <v>244</v>
      </c>
      <c r="B213" s="1">
        <v>46032</v>
      </c>
      <c r="C213" t="s">
        <v>28</v>
      </c>
      <c r="D213" t="s">
        <v>44</v>
      </c>
      <c r="E213" t="s">
        <v>32</v>
      </c>
      <c r="F213" s="3">
        <v>9</v>
      </c>
      <c r="G213" s="4">
        <v>26598</v>
      </c>
      <c r="H213" s="4">
        <v>239382</v>
      </c>
      <c r="I213" s="4">
        <v>214662.65</v>
      </c>
      <c r="J213" s="4">
        <v>24719.35</v>
      </c>
      <c r="K213" t="s">
        <v>15</v>
      </c>
      <c r="L213" s="3">
        <f>(Table1[[#This Row],[Profit]]/Table1[[#This Row],[Sales_Amount]])*100</f>
        <v>10.326319439222665</v>
      </c>
      <c r="M213" s="4" t="str" cm="1">
        <f t="array" ref="M213">_xlfn.IFS(Table1[[#This Row],[Sales_Amount]]&gt;200000,"High",AND(Table1[[#This Row],[Sales_Amount]]&gt;100000,Table1[[#This Row],[Sales_Amount]]&lt;200000),"Medium",Table1[[#This Row],[Sales_Amount]]&lt;100000,"Low")</f>
        <v>High</v>
      </c>
      <c r="N213" t="str">
        <f>TEXT(Table1[[#This Row],[Order_Date]],"MMMM")</f>
        <v>January</v>
      </c>
      <c r="O213">
        <f>YEAR(Table1[[#This Row],[Order_Date]])</f>
        <v>2026</v>
      </c>
    </row>
    <row r="214" spans="1:15" x14ac:dyDescent="0.3">
      <c r="A214" t="s">
        <v>245</v>
      </c>
      <c r="B214" s="1">
        <v>46033</v>
      </c>
      <c r="C214" t="s">
        <v>17</v>
      </c>
      <c r="D214" t="s">
        <v>34</v>
      </c>
      <c r="E214" t="s">
        <v>22</v>
      </c>
      <c r="F214" s="3">
        <v>5</v>
      </c>
      <c r="G214" s="4">
        <v>23894</v>
      </c>
      <c r="H214" s="4">
        <v>119470</v>
      </c>
      <c r="I214" s="4">
        <v>102581.91</v>
      </c>
      <c r="J214" s="4">
        <v>16888.09</v>
      </c>
      <c r="K214" t="s">
        <v>26</v>
      </c>
      <c r="L214" s="3">
        <f>(Table1[[#This Row],[Profit]]/Table1[[#This Row],[Sales_Amount]])*100</f>
        <v>14.135841633882984</v>
      </c>
      <c r="M214" s="4" t="str" cm="1">
        <f t="array" ref="M214">_xlfn.IFS(Table1[[#This Row],[Sales_Amount]]&gt;200000,"High",AND(Table1[[#This Row],[Sales_Amount]]&gt;100000,Table1[[#This Row],[Sales_Amount]]&lt;200000),"Medium",Table1[[#This Row],[Sales_Amount]]&lt;100000,"Low")</f>
        <v>Medium</v>
      </c>
      <c r="N214" t="str">
        <f>TEXT(Table1[[#This Row],[Order_Date]],"MMMM")</f>
        <v>January</v>
      </c>
      <c r="O214">
        <f>YEAR(Table1[[#This Row],[Order_Date]])</f>
        <v>2026</v>
      </c>
    </row>
    <row r="215" spans="1:15" x14ac:dyDescent="0.3">
      <c r="A215" t="s">
        <v>246</v>
      </c>
      <c r="B215" s="1">
        <v>46034</v>
      </c>
      <c r="C215" t="s">
        <v>28</v>
      </c>
      <c r="D215" t="s">
        <v>34</v>
      </c>
      <c r="E215" t="s">
        <v>32</v>
      </c>
      <c r="F215" s="3">
        <v>7</v>
      </c>
      <c r="G215" s="4">
        <v>26715</v>
      </c>
      <c r="H215" s="4">
        <v>187005</v>
      </c>
      <c r="I215" s="4">
        <v>153903.67999999999</v>
      </c>
      <c r="J215" s="4">
        <v>33101.32</v>
      </c>
      <c r="K215" t="s">
        <v>23</v>
      </c>
      <c r="L215" s="3">
        <f>(Table1[[#This Row],[Profit]]/Table1[[#This Row],[Sales_Amount]])*100</f>
        <v>17.700767359161521</v>
      </c>
      <c r="M215" s="4" t="str" cm="1">
        <f t="array" ref="M215">_xlfn.IFS(Table1[[#This Row],[Sales_Amount]]&gt;200000,"High",AND(Table1[[#This Row],[Sales_Amount]]&gt;100000,Table1[[#This Row],[Sales_Amount]]&lt;200000),"Medium",Table1[[#This Row],[Sales_Amount]]&lt;100000,"Low")</f>
        <v>Medium</v>
      </c>
      <c r="N215" t="str">
        <f>TEXT(Table1[[#This Row],[Order_Date]],"MMMM")</f>
        <v>January</v>
      </c>
      <c r="O215">
        <f>YEAR(Table1[[#This Row],[Order_Date]])</f>
        <v>2026</v>
      </c>
    </row>
    <row r="216" spans="1:15" x14ac:dyDescent="0.3">
      <c r="A216" t="s">
        <v>247</v>
      </c>
      <c r="B216" s="1">
        <v>46035</v>
      </c>
      <c r="C216" t="s">
        <v>40</v>
      </c>
      <c r="D216" t="s">
        <v>29</v>
      </c>
      <c r="E216" t="s">
        <v>19</v>
      </c>
      <c r="F216" s="3">
        <v>8</v>
      </c>
      <c r="G216" s="4">
        <v>24574</v>
      </c>
      <c r="H216" s="4">
        <v>196592</v>
      </c>
      <c r="I216" s="4">
        <v>172468.81</v>
      </c>
      <c r="J216" s="4">
        <v>24123.19</v>
      </c>
      <c r="K216" t="s">
        <v>58</v>
      </c>
      <c r="L216" s="3">
        <f>(Table1[[#This Row],[Profit]]/Table1[[#This Row],[Sales_Amount]])*100</f>
        <v>12.270687515260031</v>
      </c>
      <c r="M216" s="4" t="str" cm="1">
        <f t="array" ref="M216">_xlfn.IFS(Table1[[#This Row],[Sales_Amount]]&gt;200000,"High",AND(Table1[[#This Row],[Sales_Amount]]&gt;100000,Table1[[#This Row],[Sales_Amount]]&lt;200000),"Medium",Table1[[#This Row],[Sales_Amount]]&lt;100000,"Low")</f>
        <v>Medium</v>
      </c>
      <c r="N216" t="str">
        <f>TEXT(Table1[[#This Row],[Order_Date]],"MMMM")</f>
        <v>January</v>
      </c>
      <c r="O216">
        <f>YEAR(Table1[[#This Row],[Order_Date]])</f>
        <v>2026</v>
      </c>
    </row>
    <row r="217" spans="1:15" x14ac:dyDescent="0.3">
      <c r="A217" t="s">
        <v>248</v>
      </c>
      <c r="B217" s="1">
        <v>46036</v>
      </c>
      <c r="C217" t="s">
        <v>40</v>
      </c>
      <c r="D217" t="s">
        <v>29</v>
      </c>
      <c r="E217" t="s">
        <v>37</v>
      </c>
      <c r="F217" s="3">
        <v>10</v>
      </c>
      <c r="G217" s="4">
        <v>12326</v>
      </c>
      <c r="H217" s="4">
        <v>123260</v>
      </c>
      <c r="I217" s="4">
        <v>94126.55</v>
      </c>
      <c r="J217" s="4">
        <v>29133.45</v>
      </c>
      <c r="K217" t="s">
        <v>15</v>
      </c>
      <c r="L217" s="3">
        <f>(Table1[[#This Row],[Profit]]/Table1[[#This Row],[Sales_Amount]])*100</f>
        <v>23.635769917248094</v>
      </c>
      <c r="M217" s="4" t="str" cm="1">
        <f t="array" ref="M217">_xlfn.IFS(Table1[[#This Row],[Sales_Amount]]&gt;200000,"High",AND(Table1[[#This Row],[Sales_Amount]]&gt;100000,Table1[[#This Row],[Sales_Amount]]&lt;200000),"Medium",Table1[[#This Row],[Sales_Amount]]&lt;100000,"Low")</f>
        <v>Medium</v>
      </c>
      <c r="N217" t="str">
        <f>TEXT(Table1[[#This Row],[Order_Date]],"MMMM")</f>
        <v>January</v>
      </c>
      <c r="O217">
        <f>YEAR(Table1[[#This Row],[Order_Date]])</f>
        <v>2026</v>
      </c>
    </row>
    <row r="218" spans="1:15" x14ac:dyDescent="0.3">
      <c r="A218" t="s">
        <v>249</v>
      </c>
      <c r="B218" s="1">
        <v>46037</v>
      </c>
      <c r="C218" t="s">
        <v>28</v>
      </c>
      <c r="D218" t="s">
        <v>13</v>
      </c>
      <c r="E218" t="s">
        <v>19</v>
      </c>
      <c r="F218" s="3">
        <v>5</v>
      </c>
      <c r="G218" s="4">
        <v>20586</v>
      </c>
      <c r="H218" s="4">
        <v>102930</v>
      </c>
      <c r="I218" s="4">
        <v>75527.429999999993</v>
      </c>
      <c r="J218" s="4">
        <v>27402.57</v>
      </c>
      <c r="K218" t="s">
        <v>58</v>
      </c>
      <c r="L218" s="3">
        <f>(Table1[[#This Row],[Profit]]/Table1[[#This Row],[Sales_Amount]])*100</f>
        <v>26.622529874672107</v>
      </c>
      <c r="M218" s="4" t="str" cm="1">
        <f t="array" ref="M218">_xlfn.IFS(Table1[[#This Row],[Sales_Amount]]&gt;200000,"High",AND(Table1[[#This Row],[Sales_Amount]]&gt;100000,Table1[[#This Row],[Sales_Amount]]&lt;200000),"Medium",Table1[[#This Row],[Sales_Amount]]&lt;100000,"Low")</f>
        <v>Medium</v>
      </c>
      <c r="N218" t="str">
        <f>TEXT(Table1[[#This Row],[Order_Date]],"MMMM")</f>
        <v>January</v>
      </c>
      <c r="O218">
        <f>YEAR(Table1[[#This Row],[Order_Date]])</f>
        <v>2026</v>
      </c>
    </row>
    <row r="219" spans="1:15" x14ac:dyDescent="0.3">
      <c r="A219" t="s">
        <v>250</v>
      </c>
      <c r="B219" s="1">
        <v>46038</v>
      </c>
      <c r="C219" t="s">
        <v>40</v>
      </c>
      <c r="D219" t="s">
        <v>21</v>
      </c>
      <c r="E219" t="s">
        <v>37</v>
      </c>
      <c r="F219" s="3">
        <v>1</v>
      </c>
      <c r="G219" s="4">
        <v>48132</v>
      </c>
      <c r="H219" s="4">
        <v>48132</v>
      </c>
      <c r="I219" s="4">
        <v>41442.19</v>
      </c>
      <c r="J219" s="4">
        <v>6689.81</v>
      </c>
      <c r="K219" t="s">
        <v>26</v>
      </c>
      <c r="L219" s="3">
        <f>(Table1[[#This Row],[Profit]]/Table1[[#This Row],[Sales_Amount]])*100</f>
        <v>13.898882240505278</v>
      </c>
      <c r="M219" s="4" t="str" cm="1">
        <f t="array" ref="M219">_xlfn.IFS(Table1[[#This Row],[Sales_Amount]]&gt;200000,"High",AND(Table1[[#This Row],[Sales_Amount]]&gt;100000,Table1[[#This Row],[Sales_Amount]]&lt;200000),"Medium",Table1[[#This Row],[Sales_Amount]]&lt;100000,"Low")</f>
        <v>Low</v>
      </c>
      <c r="N219" t="str">
        <f>TEXT(Table1[[#This Row],[Order_Date]],"MMMM")</f>
        <v>January</v>
      </c>
      <c r="O219">
        <f>YEAR(Table1[[#This Row],[Order_Date]])</f>
        <v>2026</v>
      </c>
    </row>
    <row r="220" spans="1:15" x14ac:dyDescent="0.3">
      <c r="A220" t="s">
        <v>251</v>
      </c>
      <c r="B220" s="1">
        <v>46039</v>
      </c>
      <c r="C220" t="s">
        <v>40</v>
      </c>
      <c r="D220" t="s">
        <v>13</v>
      </c>
      <c r="E220" t="s">
        <v>14</v>
      </c>
      <c r="F220" s="3">
        <v>2</v>
      </c>
      <c r="G220" s="4">
        <v>44486</v>
      </c>
      <c r="H220" s="4">
        <v>88972</v>
      </c>
      <c r="I220" s="4">
        <v>70399.429999999993</v>
      </c>
      <c r="J220" s="4">
        <v>18572.57</v>
      </c>
      <c r="K220" t="s">
        <v>15</v>
      </c>
      <c r="L220" s="3">
        <f>(Table1[[#This Row],[Profit]]/Table1[[#This Row],[Sales_Amount]])*100</f>
        <v>20.87462347704896</v>
      </c>
      <c r="M220" s="4" t="str" cm="1">
        <f t="array" ref="M220">_xlfn.IFS(Table1[[#This Row],[Sales_Amount]]&gt;200000,"High",AND(Table1[[#This Row],[Sales_Amount]]&gt;100000,Table1[[#This Row],[Sales_Amount]]&lt;200000),"Medium",Table1[[#This Row],[Sales_Amount]]&lt;100000,"Low")</f>
        <v>Low</v>
      </c>
      <c r="N220" t="str">
        <f>TEXT(Table1[[#This Row],[Order_Date]],"MMMM")</f>
        <v>January</v>
      </c>
      <c r="O220">
        <f>YEAR(Table1[[#This Row],[Order_Date]])</f>
        <v>2026</v>
      </c>
    </row>
    <row r="221" spans="1:15" x14ac:dyDescent="0.3">
      <c r="A221" t="s">
        <v>252</v>
      </c>
      <c r="B221" s="1">
        <v>46040</v>
      </c>
      <c r="C221" t="s">
        <v>12</v>
      </c>
      <c r="D221" t="s">
        <v>34</v>
      </c>
      <c r="E221" t="s">
        <v>25</v>
      </c>
      <c r="F221" s="3">
        <v>8</v>
      </c>
      <c r="G221" s="4">
        <v>2780</v>
      </c>
      <c r="H221" s="4">
        <v>22240</v>
      </c>
      <c r="I221" s="4">
        <v>14186.21</v>
      </c>
      <c r="J221" s="4">
        <v>8053.79</v>
      </c>
      <c r="K221" t="s">
        <v>26</v>
      </c>
      <c r="L221" s="3">
        <f>(Table1[[#This Row],[Profit]]/Table1[[#This Row],[Sales_Amount]])*100</f>
        <v>36.213084532374104</v>
      </c>
      <c r="M221" s="4" t="str" cm="1">
        <f t="array" ref="M221">_xlfn.IFS(Table1[[#This Row],[Sales_Amount]]&gt;200000,"High",AND(Table1[[#This Row],[Sales_Amount]]&gt;100000,Table1[[#This Row],[Sales_Amount]]&lt;200000),"Medium",Table1[[#This Row],[Sales_Amount]]&lt;100000,"Low")</f>
        <v>Low</v>
      </c>
      <c r="N221" t="str">
        <f>TEXT(Table1[[#This Row],[Order_Date]],"MMMM")</f>
        <v>January</v>
      </c>
      <c r="O221">
        <f>YEAR(Table1[[#This Row],[Order_Date]])</f>
        <v>2026</v>
      </c>
    </row>
    <row r="222" spans="1:15" x14ac:dyDescent="0.3">
      <c r="A222" t="s">
        <v>253</v>
      </c>
      <c r="B222" s="1">
        <v>46041</v>
      </c>
      <c r="C222" t="s">
        <v>28</v>
      </c>
      <c r="D222" t="s">
        <v>34</v>
      </c>
      <c r="E222" t="s">
        <v>25</v>
      </c>
      <c r="F222" s="3">
        <v>1</v>
      </c>
      <c r="G222" s="4">
        <v>40155</v>
      </c>
      <c r="H222" s="4">
        <v>40155</v>
      </c>
      <c r="I222" s="4">
        <v>25941.39</v>
      </c>
      <c r="J222" s="4">
        <v>14213.61</v>
      </c>
      <c r="K222" t="s">
        <v>26</v>
      </c>
      <c r="L222" s="3">
        <f>(Table1[[#This Row],[Profit]]/Table1[[#This Row],[Sales_Amount]])*100</f>
        <v>35.396862159133356</v>
      </c>
      <c r="M222" s="4" t="str" cm="1">
        <f t="array" ref="M222">_xlfn.IFS(Table1[[#This Row],[Sales_Amount]]&gt;200000,"High",AND(Table1[[#This Row],[Sales_Amount]]&gt;100000,Table1[[#This Row],[Sales_Amount]]&lt;200000),"Medium",Table1[[#This Row],[Sales_Amount]]&lt;100000,"Low")</f>
        <v>Low</v>
      </c>
      <c r="N222" t="str">
        <f>TEXT(Table1[[#This Row],[Order_Date]],"MMMM")</f>
        <v>January</v>
      </c>
      <c r="O222">
        <f>YEAR(Table1[[#This Row],[Order_Date]])</f>
        <v>2026</v>
      </c>
    </row>
    <row r="223" spans="1:15" x14ac:dyDescent="0.3">
      <c r="A223" t="s">
        <v>254</v>
      </c>
      <c r="B223" s="1">
        <v>46042</v>
      </c>
      <c r="C223" t="s">
        <v>28</v>
      </c>
      <c r="D223" t="s">
        <v>34</v>
      </c>
      <c r="E223" t="s">
        <v>14</v>
      </c>
      <c r="F223" s="3">
        <v>10</v>
      </c>
      <c r="G223" s="4">
        <v>9523</v>
      </c>
      <c r="H223" s="4">
        <v>95230</v>
      </c>
      <c r="I223" s="4">
        <v>72264.14</v>
      </c>
      <c r="J223" s="4">
        <v>22965.86</v>
      </c>
      <c r="K223" t="s">
        <v>26</v>
      </c>
      <c r="L223" s="3">
        <f>(Table1[[#This Row],[Profit]]/Table1[[#This Row],[Sales_Amount]])*100</f>
        <v>24.116202877244568</v>
      </c>
      <c r="M223" s="4" t="str" cm="1">
        <f t="array" ref="M223">_xlfn.IFS(Table1[[#This Row],[Sales_Amount]]&gt;200000,"High",AND(Table1[[#This Row],[Sales_Amount]]&gt;100000,Table1[[#This Row],[Sales_Amount]]&lt;200000),"Medium",Table1[[#This Row],[Sales_Amount]]&lt;100000,"Low")</f>
        <v>Low</v>
      </c>
      <c r="N223" t="str">
        <f>TEXT(Table1[[#This Row],[Order_Date]],"MMMM")</f>
        <v>January</v>
      </c>
      <c r="O223">
        <f>YEAR(Table1[[#This Row],[Order_Date]])</f>
        <v>2026</v>
      </c>
    </row>
    <row r="224" spans="1:15" x14ac:dyDescent="0.3">
      <c r="A224" t="s">
        <v>255</v>
      </c>
      <c r="B224" s="1">
        <v>46043</v>
      </c>
      <c r="C224" t="s">
        <v>28</v>
      </c>
      <c r="D224" t="s">
        <v>29</v>
      </c>
      <c r="E224" t="s">
        <v>14</v>
      </c>
      <c r="F224" s="3">
        <v>1</v>
      </c>
      <c r="G224" s="4">
        <v>48713</v>
      </c>
      <c r="H224" s="4">
        <v>48713</v>
      </c>
      <c r="I224" s="4">
        <v>31946.69</v>
      </c>
      <c r="J224" s="4">
        <v>16766.310000000001</v>
      </c>
      <c r="K224" t="s">
        <v>26</v>
      </c>
      <c r="L224" s="3">
        <f>(Table1[[#This Row],[Profit]]/Table1[[#This Row],[Sales_Amount]])*100</f>
        <v>34.418553568862528</v>
      </c>
      <c r="M224" s="4" t="str" cm="1">
        <f t="array" ref="M224">_xlfn.IFS(Table1[[#This Row],[Sales_Amount]]&gt;200000,"High",AND(Table1[[#This Row],[Sales_Amount]]&gt;100000,Table1[[#This Row],[Sales_Amount]]&lt;200000),"Medium",Table1[[#This Row],[Sales_Amount]]&lt;100000,"Low")</f>
        <v>Low</v>
      </c>
      <c r="N224" t="str">
        <f>TEXT(Table1[[#This Row],[Order_Date]],"MMMM")</f>
        <v>January</v>
      </c>
      <c r="O224">
        <f>YEAR(Table1[[#This Row],[Order_Date]])</f>
        <v>2026</v>
      </c>
    </row>
    <row r="225" spans="1:15" x14ac:dyDescent="0.3">
      <c r="A225" t="s">
        <v>256</v>
      </c>
      <c r="B225" s="1">
        <v>46044</v>
      </c>
      <c r="C225" t="s">
        <v>40</v>
      </c>
      <c r="D225" t="s">
        <v>56</v>
      </c>
      <c r="E225" t="s">
        <v>19</v>
      </c>
      <c r="F225" s="3">
        <v>8</v>
      </c>
      <c r="G225" s="4">
        <v>14562</v>
      </c>
      <c r="H225" s="4">
        <v>116496</v>
      </c>
      <c r="I225" s="4">
        <v>104719.37</v>
      </c>
      <c r="J225" s="4">
        <v>11776.63</v>
      </c>
      <c r="K225" t="s">
        <v>23</v>
      </c>
      <c r="L225" s="3">
        <f>(Table1[[#This Row],[Profit]]/Table1[[#This Row],[Sales_Amount]])*100</f>
        <v>10.109042370553494</v>
      </c>
      <c r="M225" s="4" t="str" cm="1">
        <f t="array" ref="M225">_xlfn.IFS(Table1[[#This Row],[Sales_Amount]]&gt;200000,"High",AND(Table1[[#This Row],[Sales_Amount]]&gt;100000,Table1[[#This Row],[Sales_Amount]]&lt;200000),"Medium",Table1[[#This Row],[Sales_Amount]]&lt;100000,"Low")</f>
        <v>Medium</v>
      </c>
      <c r="N225" t="str">
        <f>TEXT(Table1[[#This Row],[Order_Date]],"MMMM")</f>
        <v>January</v>
      </c>
      <c r="O225">
        <f>YEAR(Table1[[#This Row],[Order_Date]])</f>
        <v>2026</v>
      </c>
    </row>
    <row r="226" spans="1:15" x14ac:dyDescent="0.3">
      <c r="A226" t="s">
        <v>257</v>
      </c>
      <c r="B226" s="1">
        <v>46045</v>
      </c>
      <c r="C226" t="s">
        <v>28</v>
      </c>
      <c r="D226" t="s">
        <v>29</v>
      </c>
      <c r="E226" t="s">
        <v>22</v>
      </c>
      <c r="F226" s="3">
        <v>2</v>
      </c>
      <c r="G226" s="4">
        <v>30125</v>
      </c>
      <c r="H226" s="4">
        <v>60250</v>
      </c>
      <c r="I226" s="4">
        <v>39270.76</v>
      </c>
      <c r="J226" s="4">
        <v>20979.24</v>
      </c>
      <c r="K226" t="s">
        <v>26</v>
      </c>
      <c r="L226" s="3">
        <f>(Table1[[#This Row],[Profit]]/Table1[[#This Row],[Sales_Amount]])*100</f>
        <v>34.820315352697094</v>
      </c>
      <c r="M226" s="4" t="str" cm="1">
        <f t="array" ref="M226">_xlfn.IFS(Table1[[#This Row],[Sales_Amount]]&gt;200000,"High",AND(Table1[[#This Row],[Sales_Amount]]&gt;100000,Table1[[#This Row],[Sales_Amount]]&lt;200000),"Medium",Table1[[#This Row],[Sales_Amount]]&lt;100000,"Low")</f>
        <v>Low</v>
      </c>
      <c r="N226" t="str">
        <f>TEXT(Table1[[#This Row],[Order_Date]],"MMMM")</f>
        <v>January</v>
      </c>
      <c r="O226">
        <f>YEAR(Table1[[#This Row],[Order_Date]])</f>
        <v>2026</v>
      </c>
    </row>
    <row r="227" spans="1:15" x14ac:dyDescent="0.3">
      <c r="A227" t="s">
        <v>258</v>
      </c>
      <c r="B227" s="1">
        <v>46046</v>
      </c>
      <c r="C227" t="s">
        <v>40</v>
      </c>
      <c r="D227" t="s">
        <v>13</v>
      </c>
      <c r="E227" t="s">
        <v>32</v>
      </c>
      <c r="F227" s="3">
        <v>2</v>
      </c>
      <c r="G227" s="4">
        <v>36544</v>
      </c>
      <c r="H227" s="4">
        <v>73088</v>
      </c>
      <c r="I227" s="4">
        <v>55740.67</v>
      </c>
      <c r="J227" s="4">
        <v>17347.330000000002</v>
      </c>
      <c r="K227" t="s">
        <v>23</v>
      </c>
      <c r="L227" s="3">
        <f>(Table1[[#This Row],[Profit]]/Table1[[#This Row],[Sales_Amount]])*100</f>
        <v>23.734853874781088</v>
      </c>
      <c r="M227" s="4" t="str" cm="1">
        <f t="array" ref="M227">_xlfn.IFS(Table1[[#This Row],[Sales_Amount]]&gt;200000,"High",AND(Table1[[#This Row],[Sales_Amount]]&gt;100000,Table1[[#This Row],[Sales_Amount]]&lt;200000),"Medium",Table1[[#This Row],[Sales_Amount]]&lt;100000,"Low")</f>
        <v>Low</v>
      </c>
      <c r="N227" t="str">
        <f>TEXT(Table1[[#This Row],[Order_Date]],"MMMM")</f>
        <v>January</v>
      </c>
      <c r="O227">
        <f>YEAR(Table1[[#This Row],[Order_Date]])</f>
        <v>2026</v>
      </c>
    </row>
    <row r="228" spans="1:15" x14ac:dyDescent="0.3">
      <c r="A228" t="s">
        <v>259</v>
      </c>
      <c r="B228" s="1">
        <v>46047</v>
      </c>
      <c r="C228" t="s">
        <v>12</v>
      </c>
      <c r="D228" t="s">
        <v>51</v>
      </c>
      <c r="E228" t="s">
        <v>25</v>
      </c>
      <c r="F228" s="3">
        <v>4</v>
      </c>
      <c r="G228" s="4">
        <v>8453</v>
      </c>
      <c r="H228" s="4">
        <v>33812</v>
      </c>
      <c r="I228" s="4">
        <v>30279.99</v>
      </c>
      <c r="J228" s="4">
        <v>3532.01</v>
      </c>
      <c r="K228" t="s">
        <v>58</v>
      </c>
      <c r="L228" s="3">
        <f>(Table1[[#This Row],[Profit]]/Table1[[#This Row],[Sales_Amount]])*100</f>
        <v>10.446025079853309</v>
      </c>
      <c r="M228" s="4" t="str" cm="1">
        <f t="array" ref="M228">_xlfn.IFS(Table1[[#This Row],[Sales_Amount]]&gt;200000,"High",AND(Table1[[#This Row],[Sales_Amount]]&gt;100000,Table1[[#This Row],[Sales_Amount]]&lt;200000),"Medium",Table1[[#This Row],[Sales_Amount]]&lt;100000,"Low")</f>
        <v>Low</v>
      </c>
      <c r="N228" t="str">
        <f>TEXT(Table1[[#This Row],[Order_Date]],"MMMM")</f>
        <v>January</v>
      </c>
      <c r="O228">
        <f>YEAR(Table1[[#This Row],[Order_Date]])</f>
        <v>2026</v>
      </c>
    </row>
    <row r="229" spans="1:15" x14ac:dyDescent="0.3">
      <c r="A229" t="s">
        <v>260</v>
      </c>
      <c r="B229" s="1">
        <v>46048</v>
      </c>
      <c r="C229" t="s">
        <v>12</v>
      </c>
      <c r="D229" t="s">
        <v>29</v>
      </c>
      <c r="E229" t="s">
        <v>32</v>
      </c>
      <c r="F229" s="3">
        <v>9</v>
      </c>
      <c r="G229" s="4">
        <v>38004</v>
      </c>
      <c r="H229" s="4">
        <v>342036</v>
      </c>
      <c r="I229" s="4">
        <v>243075.87</v>
      </c>
      <c r="J229" s="4">
        <v>98960.13</v>
      </c>
      <c r="K229" t="s">
        <v>15</v>
      </c>
      <c r="L229" s="3">
        <f>(Table1[[#This Row],[Profit]]/Table1[[#This Row],[Sales_Amount]])*100</f>
        <v>28.932664982633412</v>
      </c>
      <c r="M229" s="4" t="str" cm="1">
        <f t="array" ref="M229">_xlfn.IFS(Table1[[#This Row],[Sales_Amount]]&gt;200000,"High",AND(Table1[[#This Row],[Sales_Amount]]&gt;100000,Table1[[#This Row],[Sales_Amount]]&lt;200000),"Medium",Table1[[#This Row],[Sales_Amount]]&lt;100000,"Low")</f>
        <v>High</v>
      </c>
      <c r="N229" t="str">
        <f>TEXT(Table1[[#This Row],[Order_Date]],"MMMM")</f>
        <v>January</v>
      </c>
      <c r="O229">
        <f>YEAR(Table1[[#This Row],[Order_Date]])</f>
        <v>2026</v>
      </c>
    </row>
    <row r="230" spans="1:15" x14ac:dyDescent="0.3">
      <c r="A230" t="s">
        <v>261</v>
      </c>
      <c r="B230" s="1">
        <v>46049</v>
      </c>
      <c r="C230" t="s">
        <v>28</v>
      </c>
      <c r="D230" t="s">
        <v>29</v>
      </c>
      <c r="E230" t="s">
        <v>37</v>
      </c>
      <c r="F230" s="3">
        <v>8</v>
      </c>
      <c r="G230" s="4">
        <v>34951</v>
      </c>
      <c r="H230" s="4">
        <v>279608</v>
      </c>
      <c r="I230" s="4">
        <v>202223.28</v>
      </c>
      <c r="J230" s="4">
        <v>77384.72</v>
      </c>
      <c r="K230" t="s">
        <v>23</v>
      </c>
      <c r="L230" s="3">
        <f>(Table1[[#This Row],[Profit]]/Table1[[#This Row],[Sales_Amount]])*100</f>
        <v>27.676146605247347</v>
      </c>
      <c r="M230" s="4" t="str" cm="1">
        <f t="array" ref="M230">_xlfn.IFS(Table1[[#This Row],[Sales_Amount]]&gt;200000,"High",AND(Table1[[#This Row],[Sales_Amount]]&gt;100000,Table1[[#This Row],[Sales_Amount]]&lt;200000),"Medium",Table1[[#This Row],[Sales_Amount]]&lt;100000,"Low")</f>
        <v>High</v>
      </c>
      <c r="N230" t="str">
        <f>TEXT(Table1[[#This Row],[Order_Date]],"MMMM")</f>
        <v>January</v>
      </c>
      <c r="O230">
        <f>YEAR(Table1[[#This Row],[Order_Date]])</f>
        <v>2026</v>
      </c>
    </row>
    <row r="231" spans="1:15" x14ac:dyDescent="0.3">
      <c r="A231" t="s">
        <v>262</v>
      </c>
      <c r="B231" s="1">
        <v>46050</v>
      </c>
      <c r="C231" t="s">
        <v>40</v>
      </c>
      <c r="D231" t="s">
        <v>13</v>
      </c>
      <c r="E231" t="s">
        <v>19</v>
      </c>
      <c r="F231" s="3">
        <v>2</v>
      </c>
      <c r="G231" s="4">
        <v>29989</v>
      </c>
      <c r="H231" s="4">
        <v>59978</v>
      </c>
      <c r="I231" s="4">
        <v>44368.72</v>
      </c>
      <c r="J231" s="4">
        <v>15609.28</v>
      </c>
      <c r="K231" t="s">
        <v>23</v>
      </c>
      <c r="L231" s="3">
        <f>(Table1[[#This Row],[Profit]]/Table1[[#This Row],[Sales_Amount]])*100</f>
        <v>26.025009170029012</v>
      </c>
      <c r="M231" s="4" t="str" cm="1">
        <f t="array" ref="M231">_xlfn.IFS(Table1[[#This Row],[Sales_Amount]]&gt;200000,"High",AND(Table1[[#This Row],[Sales_Amount]]&gt;100000,Table1[[#This Row],[Sales_Amount]]&lt;200000),"Medium",Table1[[#This Row],[Sales_Amount]]&lt;100000,"Low")</f>
        <v>Low</v>
      </c>
      <c r="N231" t="str">
        <f>TEXT(Table1[[#This Row],[Order_Date]],"MMMM")</f>
        <v>January</v>
      </c>
      <c r="O231">
        <f>YEAR(Table1[[#This Row],[Order_Date]])</f>
        <v>2026</v>
      </c>
    </row>
    <row r="232" spans="1:15" x14ac:dyDescent="0.3">
      <c r="A232" t="s">
        <v>263</v>
      </c>
      <c r="B232" s="1">
        <v>46051</v>
      </c>
      <c r="C232" t="s">
        <v>12</v>
      </c>
      <c r="D232" t="s">
        <v>44</v>
      </c>
      <c r="E232" t="s">
        <v>37</v>
      </c>
      <c r="F232" s="3">
        <v>9</v>
      </c>
      <c r="G232" s="4">
        <v>4131</v>
      </c>
      <c r="H232" s="4">
        <v>37179</v>
      </c>
      <c r="I232" s="4">
        <v>31580.48</v>
      </c>
      <c r="J232" s="4">
        <v>5598.52</v>
      </c>
      <c r="K232" t="s">
        <v>23</v>
      </c>
      <c r="L232" s="3">
        <f>(Table1[[#This Row],[Profit]]/Table1[[#This Row],[Sales_Amount]])*100</f>
        <v>15.058285591328438</v>
      </c>
      <c r="M232" s="4" t="str" cm="1">
        <f t="array" ref="M232">_xlfn.IFS(Table1[[#This Row],[Sales_Amount]]&gt;200000,"High",AND(Table1[[#This Row],[Sales_Amount]]&gt;100000,Table1[[#This Row],[Sales_Amount]]&lt;200000),"Medium",Table1[[#This Row],[Sales_Amount]]&lt;100000,"Low")</f>
        <v>Low</v>
      </c>
      <c r="N232" t="str">
        <f>TEXT(Table1[[#This Row],[Order_Date]],"MMMM")</f>
        <v>January</v>
      </c>
      <c r="O232">
        <f>YEAR(Table1[[#This Row],[Order_Date]])</f>
        <v>2026</v>
      </c>
    </row>
    <row r="233" spans="1:15" x14ac:dyDescent="0.3">
      <c r="A233" t="s">
        <v>264</v>
      </c>
      <c r="B233" s="1">
        <v>46052</v>
      </c>
      <c r="C233" t="s">
        <v>40</v>
      </c>
      <c r="D233" t="s">
        <v>29</v>
      </c>
      <c r="E233" t="s">
        <v>32</v>
      </c>
      <c r="F233" s="3">
        <v>4</v>
      </c>
      <c r="G233" s="4">
        <v>23176</v>
      </c>
      <c r="H233" s="4">
        <v>92704</v>
      </c>
      <c r="I233" s="4">
        <v>81973.039999999994</v>
      </c>
      <c r="J233" s="4">
        <v>10730.96</v>
      </c>
      <c r="K233" t="s">
        <v>26</v>
      </c>
      <c r="L233" s="3">
        <f>(Table1[[#This Row],[Profit]]/Table1[[#This Row],[Sales_Amount]])*100</f>
        <v>11.575509147393854</v>
      </c>
      <c r="M233" s="4" t="str" cm="1">
        <f t="array" ref="M233">_xlfn.IFS(Table1[[#This Row],[Sales_Amount]]&gt;200000,"High",AND(Table1[[#This Row],[Sales_Amount]]&gt;100000,Table1[[#This Row],[Sales_Amount]]&lt;200000),"Medium",Table1[[#This Row],[Sales_Amount]]&lt;100000,"Low")</f>
        <v>Low</v>
      </c>
      <c r="N233" t="str">
        <f>TEXT(Table1[[#This Row],[Order_Date]],"MMMM")</f>
        <v>January</v>
      </c>
      <c r="O233">
        <f>YEAR(Table1[[#This Row],[Order_Date]])</f>
        <v>2026</v>
      </c>
    </row>
    <row r="234" spans="1:15" x14ac:dyDescent="0.3">
      <c r="A234" t="s">
        <v>265</v>
      </c>
      <c r="B234" s="1">
        <v>46053</v>
      </c>
      <c r="C234" t="s">
        <v>40</v>
      </c>
      <c r="D234" t="s">
        <v>29</v>
      </c>
      <c r="E234" t="s">
        <v>19</v>
      </c>
      <c r="F234" s="3">
        <v>9</v>
      </c>
      <c r="G234" s="4">
        <v>18486</v>
      </c>
      <c r="H234" s="4">
        <v>166374</v>
      </c>
      <c r="I234" s="4">
        <v>106071.92</v>
      </c>
      <c r="J234" s="4">
        <v>60302.080000000002</v>
      </c>
      <c r="K234" t="s">
        <v>23</v>
      </c>
      <c r="L234" s="3">
        <f>(Table1[[#This Row],[Profit]]/Table1[[#This Row],[Sales_Amount]])*100</f>
        <v>36.244894033923572</v>
      </c>
      <c r="M234" s="4" t="str" cm="1">
        <f t="array" ref="M234">_xlfn.IFS(Table1[[#This Row],[Sales_Amount]]&gt;200000,"High",AND(Table1[[#This Row],[Sales_Amount]]&gt;100000,Table1[[#This Row],[Sales_Amount]]&lt;200000),"Medium",Table1[[#This Row],[Sales_Amount]]&lt;100000,"Low")</f>
        <v>Medium</v>
      </c>
      <c r="N234" t="str">
        <f>TEXT(Table1[[#This Row],[Order_Date]],"MMMM")</f>
        <v>January</v>
      </c>
      <c r="O234">
        <f>YEAR(Table1[[#This Row],[Order_Date]])</f>
        <v>2026</v>
      </c>
    </row>
    <row r="235" spans="1:15" x14ac:dyDescent="0.3">
      <c r="A235" t="s">
        <v>266</v>
      </c>
      <c r="B235" s="1">
        <v>46054</v>
      </c>
      <c r="C235" t="s">
        <v>40</v>
      </c>
      <c r="D235" t="s">
        <v>18</v>
      </c>
      <c r="E235" t="s">
        <v>25</v>
      </c>
      <c r="F235" s="3">
        <v>3</v>
      </c>
      <c r="G235" s="4">
        <v>11719</v>
      </c>
      <c r="H235" s="4">
        <v>35157</v>
      </c>
      <c r="I235" s="4">
        <v>28041.919999999998</v>
      </c>
      <c r="J235" s="4">
        <v>7115.08</v>
      </c>
      <c r="K235" t="s">
        <v>15</v>
      </c>
      <c r="L235" s="3">
        <f>(Table1[[#This Row],[Profit]]/Table1[[#This Row],[Sales_Amount]])*100</f>
        <v>20.238018033393065</v>
      </c>
      <c r="M235" s="4" t="str" cm="1">
        <f t="array" ref="M235">_xlfn.IFS(Table1[[#This Row],[Sales_Amount]]&gt;200000,"High",AND(Table1[[#This Row],[Sales_Amount]]&gt;100000,Table1[[#This Row],[Sales_Amount]]&lt;200000),"Medium",Table1[[#This Row],[Sales_Amount]]&lt;100000,"Low")</f>
        <v>Low</v>
      </c>
      <c r="N235" t="str">
        <f>TEXT(Table1[[#This Row],[Order_Date]],"MMMM")</f>
        <v>February</v>
      </c>
      <c r="O235">
        <f>YEAR(Table1[[#This Row],[Order_Date]])</f>
        <v>2026</v>
      </c>
    </row>
    <row r="236" spans="1:15" x14ac:dyDescent="0.3">
      <c r="A236" t="s">
        <v>267</v>
      </c>
      <c r="B236" s="1">
        <v>46055</v>
      </c>
      <c r="C236" t="s">
        <v>28</v>
      </c>
      <c r="D236" t="s">
        <v>18</v>
      </c>
      <c r="E236" t="s">
        <v>14</v>
      </c>
      <c r="F236" s="3">
        <v>10</v>
      </c>
      <c r="G236" s="4">
        <v>17844</v>
      </c>
      <c r="H236" s="4">
        <v>178440</v>
      </c>
      <c r="I236" s="4">
        <v>141920.29</v>
      </c>
      <c r="J236" s="4">
        <v>36519.71</v>
      </c>
      <c r="K236" t="s">
        <v>58</v>
      </c>
      <c r="L236" s="3">
        <f>(Table1[[#This Row],[Profit]]/Table1[[#This Row],[Sales_Amount]])*100</f>
        <v>20.466100650078456</v>
      </c>
      <c r="M236" s="4" t="str" cm="1">
        <f t="array" ref="M236">_xlfn.IFS(Table1[[#This Row],[Sales_Amount]]&gt;200000,"High",AND(Table1[[#This Row],[Sales_Amount]]&gt;100000,Table1[[#This Row],[Sales_Amount]]&lt;200000),"Medium",Table1[[#This Row],[Sales_Amount]]&lt;100000,"Low")</f>
        <v>Medium</v>
      </c>
      <c r="N236" t="str">
        <f>TEXT(Table1[[#This Row],[Order_Date]],"MMMM")</f>
        <v>February</v>
      </c>
      <c r="O236">
        <f>YEAR(Table1[[#This Row],[Order_Date]])</f>
        <v>2026</v>
      </c>
    </row>
    <row r="237" spans="1:15" x14ac:dyDescent="0.3">
      <c r="A237" t="s">
        <v>268</v>
      </c>
      <c r="B237" s="1">
        <v>46056</v>
      </c>
      <c r="C237" t="s">
        <v>28</v>
      </c>
      <c r="D237" t="s">
        <v>51</v>
      </c>
      <c r="E237" t="s">
        <v>25</v>
      </c>
      <c r="F237" s="3">
        <v>5</v>
      </c>
      <c r="G237" s="4">
        <v>42568</v>
      </c>
      <c r="H237" s="4">
        <v>212840</v>
      </c>
      <c r="I237" s="4">
        <v>188788.03</v>
      </c>
      <c r="J237" s="4">
        <v>24051.97</v>
      </c>
      <c r="K237" t="s">
        <v>58</v>
      </c>
      <c r="L237" s="3">
        <f>(Table1[[#This Row],[Profit]]/Table1[[#This Row],[Sales_Amount]])*100</f>
        <v>11.300493328321744</v>
      </c>
      <c r="M237" s="4" t="str" cm="1">
        <f t="array" ref="M237">_xlfn.IFS(Table1[[#This Row],[Sales_Amount]]&gt;200000,"High",AND(Table1[[#This Row],[Sales_Amount]]&gt;100000,Table1[[#This Row],[Sales_Amount]]&lt;200000),"Medium",Table1[[#This Row],[Sales_Amount]]&lt;100000,"Low")</f>
        <v>High</v>
      </c>
      <c r="N237" t="str">
        <f>TEXT(Table1[[#This Row],[Order_Date]],"MMMM")</f>
        <v>February</v>
      </c>
      <c r="O237">
        <f>YEAR(Table1[[#This Row],[Order_Date]])</f>
        <v>2026</v>
      </c>
    </row>
    <row r="238" spans="1:15" x14ac:dyDescent="0.3">
      <c r="A238" t="s">
        <v>269</v>
      </c>
      <c r="B238" s="1">
        <v>46057</v>
      </c>
      <c r="C238" t="s">
        <v>28</v>
      </c>
      <c r="D238" t="s">
        <v>21</v>
      </c>
      <c r="E238" t="s">
        <v>37</v>
      </c>
      <c r="F238" s="3">
        <v>2</v>
      </c>
      <c r="G238" s="4">
        <v>45628</v>
      </c>
      <c r="H238" s="4">
        <v>91256</v>
      </c>
      <c r="I238" s="4">
        <v>56393.83</v>
      </c>
      <c r="J238" s="4">
        <v>34862.17</v>
      </c>
      <c r="K238" t="s">
        <v>58</v>
      </c>
      <c r="L238" s="3">
        <f>(Table1[[#This Row],[Profit]]/Table1[[#This Row],[Sales_Amount]])*100</f>
        <v>38.202605856053303</v>
      </c>
      <c r="M238" s="4" t="str" cm="1">
        <f t="array" ref="M238">_xlfn.IFS(Table1[[#This Row],[Sales_Amount]]&gt;200000,"High",AND(Table1[[#This Row],[Sales_Amount]]&gt;100000,Table1[[#This Row],[Sales_Amount]]&lt;200000),"Medium",Table1[[#This Row],[Sales_Amount]]&lt;100000,"Low")</f>
        <v>Low</v>
      </c>
      <c r="N238" t="str">
        <f>TEXT(Table1[[#This Row],[Order_Date]],"MMMM")</f>
        <v>February</v>
      </c>
      <c r="O238">
        <f>YEAR(Table1[[#This Row],[Order_Date]])</f>
        <v>2026</v>
      </c>
    </row>
    <row r="239" spans="1:15" x14ac:dyDescent="0.3">
      <c r="A239" t="s">
        <v>270</v>
      </c>
      <c r="B239" s="1">
        <v>46058</v>
      </c>
      <c r="C239" t="s">
        <v>40</v>
      </c>
      <c r="D239" t="s">
        <v>34</v>
      </c>
      <c r="E239" t="s">
        <v>22</v>
      </c>
      <c r="F239" s="3">
        <v>6</v>
      </c>
      <c r="G239" s="4">
        <v>40258</v>
      </c>
      <c r="H239" s="4">
        <v>241548</v>
      </c>
      <c r="I239" s="4">
        <v>155339.67000000001</v>
      </c>
      <c r="J239" s="4">
        <v>86208.33</v>
      </c>
      <c r="K239" t="s">
        <v>58</v>
      </c>
      <c r="L239" s="3">
        <f>(Table1[[#This Row],[Profit]]/Table1[[#This Row],[Sales_Amount]])*100</f>
        <v>35.689937403745844</v>
      </c>
      <c r="M239" s="4" t="str" cm="1">
        <f t="array" ref="M239">_xlfn.IFS(Table1[[#This Row],[Sales_Amount]]&gt;200000,"High",AND(Table1[[#This Row],[Sales_Amount]]&gt;100000,Table1[[#This Row],[Sales_Amount]]&lt;200000),"Medium",Table1[[#This Row],[Sales_Amount]]&lt;100000,"Low")</f>
        <v>High</v>
      </c>
      <c r="N239" t="str">
        <f>TEXT(Table1[[#This Row],[Order_Date]],"MMMM")</f>
        <v>February</v>
      </c>
      <c r="O239">
        <f>YEAR(Table1[[#This Row],[Order_Date]])</f>
        <v>2026</v>
      </c>
    </row>
    <row r="240" spans="1:15" x14ac:dyDescent="0.3">
      <c r="A240" t="s">
        <v>271</v>
      </c>
      <c r="B240" s="1">
        <v>46059</v>
      </c>
      <c r="C240" t="s">
        <v>12</v>
      </c>
      <c r="D240" t="s">
        <v>56</v>
      </c>
      <c r="E240" t="s">
        <v>32</v>
      </c>
      <c r="F240" s="3">
        <v>9</v>
      </c>
      <c r="G240" s="4">
        <v>37308</v>
      </c>
      <c r="H240" s="4">
        <v>335772</v>
      </c>
      <c r="I240" s="4">
        <v>212159.28</v>
      </c>
      <c r="J240" s="4">
        <v>123612.72</v>
      </c>
      <c r="K240" t="s">
        <v>15</v>
      </c>
      <c r="L240" s="3">
        <f>(Table1[[#This Row],[Profit]]/Table1[[#This Row],[Sales_Amount]])*100</f>
        <v>36.814481255137416</v>
      </c>
      <c r="M240" s="4" t="str" cm="1">
        <f t="array" ref="M240">_xlfn.IFS(Table1[[#This Row],[Sales_Amount]]&gt;200000,"High",AND(Table1[[#This Row],[Sales_Amount]]&gt;100000,Table1[[#This Row],[Sales_Amount]]&lt;200000),"Medium",Table1[[#This Row],[Sales_Amount]]&lt;100000,"Low")</f>
        <v>High</v>
      </c>
      <c r="N240" t="str">
        <f>TEXT(Table1[[#This Row],[Order_Date]],"MMMM")</f>
        <v>February</v>
      </c>
      <c r="O240">
        <f>YEAR(Table1[[#This Row],[Order_Date]])</f>
        <v>2026</v>
      </c>
    </row>
    <row r="241" spans="1:15" x14ac:dyDescent="0.3">
      <c r="A241" t="s">
        <v>272</v>
      </c>
      <c r="B241" s="1">
        <v>46060</v>
      </c>
      <c r="C241" t="s">
        <v>40</v>
      </c>
      <c r="D241" t="s">
        <v>21</v>
      </c>
      <c r="E241" t="s">
        <v>37</v>
      </c>
      <c r="F241" s="3">
        <v>4</v>
      </c>
      <c r="G241" s="4">
        <v>9732</v>
      </c>
      <c r="H241" s="4">
        <v>38928</v>
      </c>
      <c r="I241" s="4">
        <v>24487.41</v>
      </c>
      <c r="J241" s="4">
        <v>14440.59</v>
      </c>
      <c r="K241" t="s">
        <v>58</v>
      </c>
      <c r="L241" s="3">
        <f>(Table1[[#This Row],[Profit]]/Table1[[#This Row],[Sales_Amount]])*100</f>
        <v>37.095638101109742</v>
      </c>
      <c r="M241" s="4" t="str" cm="1">
        <f t="array" ref="M241">_xlfn.IFS(Table1[[#This Row],[Sales_Amount]]&gt;200000,"High",AND(Table1[[#This Row],[Sales_Amount]]&gt;100000,Table1[[#This Row],[Sales_Amount]]&lt;200000),"Medium",Table1[[#This Row],[Sales_Amount]]&lt;100000,"Low")</f>
        <v>Low</v>
      </c>
      <c r="N241" t="str">
        <f>TEXT(Table1[[#This Row],[Order_Date]],"MMMM")</f>
        <v>February</v>
      </c>
      <c r="O241">
        <f>YEAR(Table1[[#This Row],[Order_Date]])</f>
        <v>2026</v>
      </c>
    </row>
    <row r="242" spans="1:15" x14ac:dyDescent="0.3">
      <c r="A242" t="s">
        <v>273</v>
      </c>
      <c r="B242" s="1">
        <v>46061</v>
      </c>
      <c r="C242" t="s">
        <v>12</v>
      </c>
      <c r="D242" t="s">
        <v>13</v>
      </c>
      <c r="E242" t="s">
        <v>22</v>
      </c>
      <c r="F242" s="3">
        <v>6</v>
      </c>
      <c r="G242" s="4">
        <v>38359</v>
      </c>
      <c r="H242" s="4">
        <v>230154</v>
      </c>
      <c r="I242" s="4">
        <v>187883.58</v>
      </c>
      <c r="J242" s="4">
        <v>42270.42</v>
      </c>
      <c r="K242" t="s">
        <v>58</v>
      </c>
      <c r="L242" s="3">
        <f>(Table1[[#This Row],[Profit]]/Table1[[#This Row],[Sales_Amount]])*100</f>
        <v>18.366146145624235</v>
      </c>
      <c r="M242" s="4" t="str" cm="1">
        <f t="array" ref="M242">_xlfn.IFS(Table1[[#This Row],[Sales_Amount]]&gt;200000,"High",AND(Table1[[#This Row],[Sales_Amount]]&gt;100000,Table1[[#This Row],[Sales_Amount]]&lt;200000),"Medium",Table1[[#This Row],[Sales_Amount]]&lt;100000,"Low")</f>
        <v>High</v>
      </c>
      <c r="N242" t="str">
        <f>TEXT(Table1[[#This Row],[Order_Date]],"MMMM")</f>
        <v>February</v>
      </c>
      <c r="O242">
        <f>YEAR(Table1[[#This Row],[Order_Date]])</f>
        <v>2026</v>
      </c>
    </row>
    <row r="243" spans="1:15" x14ac:dyDescent="0.3">
      <c r="A243" t="s">
        <v>274</v>
      </c>
      <c r="B243" s="1">
        <v>46062</v>
      </c>
      <c r="C243" t="s">
        <v>17</v>
      </c>
      <c r="D243" t="s">
        <v>21</v>
      </c>
      <c r="E243" t="s">
        <v>37</v>
      </c>
      <c r="F243" s="3">
        <v>8</v>
      </c>
      <c r="G243" s="4">
        <v>20720</v>
      </c>
      <c r="H243" s="4">
        <v>165760</v>
      </c>
      <c r="I243" s="4">
        <v>124189.23</v>
      </c>
      <c r="J243" s="4">
        <v>41570.769999999997</v>
      </c>
      <c r="K243" t="s">
        <v>58</v>
      </c>
      <c r="L243" s="3">
        <f>(Table1[[#This Row],[Profit]]/Table1[[#This Row],[Sales_Amount]])*100</f>
        <v>25.078891167953664</v>
      </c>
      <c r="M243" s="4" t="str" cm="1">
        <f t="array" ref="M243">_xlfn.IFS(Table1[[#This Row],[Sales_Amount]]&gt;200000,"High",AND(Table1[[#This Row],[Sales_Amount]]&gt;100000,Table1[[#This Row],[Sales_Amount]]&lt;200000),"Medium",Table1[[#This Row],[Sales_Amount]]&lt;100000,"Low")</f>
        <v>Medium</v>
      </c>
      <c r="N243" t="str">
        <f>TEXT(Table1[[#This Row],[Order_Date]],"MMMM")</f>
        <v>February</v>
      </c>
      <c r="O243">
        <f>YEAR(Table1[[#This Row],[Order_Date]])</f>
        <v>2026</v>
      </c>
    </row>
    <row r="244" spans="1:15" x14ac:dyDescent="0.3">
      <c r="A244" t="s">
        <v>275</v>
      </c>
      <c r="B244" s="1">
        <v>46063</v>
      </c>
      <c r="C244" t="s">
        <v>40</v>
      </c>
      <c r="D244" t="s">
        <v>56</v>
      </c>
      <c r="E244" t="s">
        <v>22</v>
      </c>
      <c r="F244" s="3">
        <v>10</v>
      </c>
      <c r="G244" s="4">
        <v>23627</v>
      </c>
      <c r="H244" s="4">
        <v>236270</v>
      </c>
      <c r="I244" s="4">
        <v>145210.94</v>
      </c>
      <c r="J244" s="4">
        <v>91059.06</v>
      </c>
      <c r="K244" t="s">
        <v>58</v>
      </c>
      <c r="L244" s="3">
        <f>(Table1[[#This Row],[Profit]]/Table1[[#This Row],[Sales_Amount]])*100</f>
        <v>38.540254793245019</v>
      </c>
      <c r="M244" s="4" t="str" cm="1">
        <f t="array" ref="M244">_xlfn.IFS(Table1[[#This Row],[Sales_Amount]]&gt;200000,"High",AND(Table1[[#This Row],[Sales_Amount]]&gt;100000,Table1[[#This Row],[Sales_Amount]]&lt;200000),"Medium",Table1[[#This Row],[Sales_Amount]]&lt;100000,"Low")</f>
        <v>High</v>
      </c>
      <c r="N244" t="str">
        <f>TEXT(Table1[[#This Row],[Order_Date]],"MMMM")</f>
        <v>February</v>
      </c>
      <c r="O244">
        <f>YEAR(Table1[[#This Row],[Order_Date]])</f>
        <v>2026</v>
      </c>
    </row>
    <row r="245" spans="1:15" x14ac:dyDescent="0.3">
      <c r="A245" t="s">
        <v>276</v>
      </c>
      <c r="B245" s="1">
        <v>46064</v>
      </c>
      <c r="C245" t="s">
        <v>40</v>
      </c>
      <c r="D245" t="s">
        <v>34</v>
      </c>
      <c r="E245" t="s">
        <v>25</v>
      </c>
      <c r="F245" s="3">
        <v>1</v>
      </c>
      <c r="G245" s="4">
        <v>7544</v>
      </c>
      <c r="H245" s="4">
        <v>7544</v>
      </c>
      <c r="I245" s="4">
        <v>5501.68</v>
      </c>
      <c r="J245" s="4">
        <v>2042.32</v>
      </c>
      <c r="K245" t="s">
        <v>58</v>
      </c>
      <c r="L245" s="3">
        <f>(Table1[[#This Row],[Profit]]/Table1[[#This Row],[Sales_Amount]])*100</f>
        <v>27.072110286320257</v>
      </c>
      <c r="M245" s="4" t="str" cm="1">
        <f t="array" ref="M245">_xlfn.IFS(Table1[[#This Row],[Sales_Amount]]&gt;200000,"High",AND(Table1[[#This Row],[Sales_Amount]]&gt;100000,Table1[[#This Row],[Sales_Amount]]&lt;200000),"Medium",Table1[[#This Row],[Sales_Amount]]&lt;100000,"Low")</f>
        <v>Low</v>
      </c>
      <c r="N245" t="str">
        <f>TEXT(Table1[[#This Row],[Order_Date]],"MMMM")</f>
        <v>February</v>
      </c>
      <c r="O245">
        <f>YEAR(Table1[[#This Row],[Order_Date]])</f>
        <v>2026</v>
      </c>
    </row>
    <row r="246" spans="1:15" x14ac:dyDescent="0.3">
      <c r="A246" t="s">
        <v>277</v>
      </c>
      <c r="B246" s="1">
        <v>46065</v>
      </c>
      <c r="C246" t="s">
        <v>12</v>
      </c>
      <c r="D246" t="s">
        <v>34</v>
      </c>
      <c r="E246" t="s">
        <v>14</v>
      </c>
      <c r="F246" s="3">
        <v>7</v>
      </c>
      <c r="G246" s="4">
        <v>3852</v>
      </c>
      <c r="H246" s="4">
        <v>26964</v>
      </c>
      <c r="I246" s="4">
        <v>20791.52</v>
      </c>
      <c r="J246" s="4">
        <v>6172.48</v>
      </c>
      <c r="K246" t="s">
        <v>26</v>
      </c>
      <c r="L246" s="3">
        <f>(Table1[[#This Row],[Profit]]/Table1[[#This Row],[Sales_Amount]])*100</f>
        <v>22.891559115858179</v>
      </c>
      <c r="M246" s="4" t="str" cm="1">
        <f t="array" ref="M246">_xlfn.IFS(Table1[[#This Row],[Sales_Amount]]&gt;200000,"High",AND(Table1[[#This Row],[Sales_Amount]]&gt;100000,Table1[[#This Row],[Sales_Amount]]&lt;200000),"Medium",Table1[[#This Row],[Sales_Amount]]&lt;100000,"Low")</f>
        <v>Low</v>
      </c>
      <c r="N246" t="str">
        <f>TEXT(Table1[[#This Row],[Order_Date]],"MMMM")</f>
        <v>February</v>
      </c>
      <c r="O246">
        <f>YEAR(Table1[[#This Row],[Order_Date]])</f>
        <v>2026</v>
      </c>
    </row>
    <row r="247" spans="1:15" x14ac:dyDescent="0.3">
      <c r="A247" t="s">
        <v>278</v>
      </c>
      <c r="B247" s="1">
        <v>46066</v>
      </c>
      <c r="C247" t="s">
        <v>40</v>
      </c>
      <c r="D247" t="s">
        <v>29</v>
      </c>
      <c r="E247" t="s">
        <v>37</v>
      </c>
      <c r="F247" s="3">
        <v>9</v>
      </c>
      <c r="G247" s="4">
        <v>30014</v>
      </c>
      <c r="H247" s="4">
        <v>270126</v>
      </c>
      <c r="I247" s="4">
        <v>224021.23</v>
      </c>
      <c r="J247" s="4">
        <v>46104.77</v>
      </c>
      <c r="K247" t="s">
        <v>23</v>
      </c>
      <c r="L247" s="3">
        <f>(Table1[[#This Row],[Profit]]/Table1[[#This Row],[Sales_Amount]])*100</f>
        <v>17.067875732065776</v>
      </c>
      <c r="M247" s="4" t="str" cm="1">
        <f t="array" ref="M247">_xlfn.IFS(Table1[[#This Row],[Sales_Amount]]&gt;200000,"High",AND(Table1[[#This Row],[Sales_Amount]]&gt;100000,Table1[[#This Row],[Sales_Amount]]&lt;200000),"Medium",Table1[[#This Row],[Sales_Amount]]&lt;100000,"Low")</f>
        <v>High</v>
      </c>
      <c r="N247" t="str">
        <f>TEXT(Table1[[#This Row],[Order_Date]],"MMMM")</f>
        <v>February</v>
      </c>
      <c r="O247">
        <f>YEAR(Table1[[#This Row],[Order_Date]])</f>
        <v>2026</v>
      </c>
    </row>
    <row r="248" spans="1:15" x14ac:dyDescent="0.3">
      <c r="A248" t="s">
        <v>279</v>
      </c>
      <c r="B248" s="1">
        <v>46067</v>
      </c>
      <c r="C248" t="s">
        <v>40</v>
      </c>
      <c r="D248" t="s">
        <v>13</v>
      </c>
      <c r="E248" t="s">
        <v>37</v>
      </c>
      <c r="F248" s="3">
        <v>6</v>
      </c>
      <c r="G248" s="4">
        <v>22722</v>
      </c>
      <c r="H248" s="4">
        <v>136332</v>
      </c>
      <c r="I248" s="4">
        <v>104614.3</v>
      </c>
      <c r="J248" s="4">
        <v>31717.7</v>
      </c>
      <c r="K248" t="s">
        <v>23</v>
      </c>
      <c r="L248" s="3">
        <f>(Table1[[#This Row],[Profit]]/Table1[[#This Row],[Sales_Amount]])*100</f>
        <v>23.26504415691107</v>
      </c>
      <c r="M248" s="4" t="str" cm="1">
        <f t="array" ref="M248">_xlfn.IFS(Table1[[#This Row],[Sales_Amount]]&gt;200000,"High",AND(Table1[[#This Row],[Sales_Amount]]&gt;100000,Table1[[#This Row],[Sales_Amount]]&lt;200000),"Medium",Table1[[#This Row],[Sales_Amount]]&lt;100000,"Low")</f>
        <v>Medium</v>
      </c>
      <c r="N248" t="str">
        <f>TEXT(Table1[[#This Row],[Order_Date]],"MMMM")</f>
        <v>February</v>
      </c>
      <c r="O248">
        <f>YEAR(Table1[[#This Row],[Order_Date]])</f>
        <v>2026</v>
      </c>
    </row>
    <row r="249" spans="1:15" x14ac:dyDescent="0.3">
      <c r="A249" t="s">
        <v>280</v>
      </c>
      <c r="B249" s="1">
        <v>46068</v>
      </c>
      <c r="C249" t="s">
        <v>17</v>
      </c>
      <c r="D249" t="s">
        <v>13</v>
      </c>
      <c r="E249" t="s">
        <v>25</v>
      </c>
      <c r="F249" s="3">
        <v>7</v>
      </c>
      <c r="G249" s="4">
        <v>33273</v>
      </c>
      <c r="H249" s="4">
        <v>232911</v>
      </c>
      <c r="I249" s="4">
        <v>142559.34</v>
      </c>
      <c r="J249" s="4">
        <v>90351.66</v>
      </c>
      <c r="K249" t="s">
        <v>26</v>
      </c>
      <c r="L249" s="3">
        <f>(Table1[[#This Row],[Profit]]/Table1[[#This Row],[Sales_Amount]])*100</f>
        <v>38.792354161031469</v>
      </c>
      <c r="M249" s="4" t="str" cm="1">
        <f t="array" ref="M249">_xlfn.IFS(Table1[[#This Row],[Sales_Amount]]&gt;200000,"High",AND(Table1[[#This Row],[Sales_Amount]]&gt;100000,Table1[[#This Row],[Sales_Amount]]&lt;200000),"Medium",Table1[[#This Row],[Sales_Amount]]&lt;100000,"Low")</f>
        <v>High</v>
      </c>
      <c r="N249" t="str">
        <f>TEXT(Table1[[#This Row],[Order_Date]],"MMMM")</f>
        <v>February</v>
      </c>
      <c r="O249">
        <f>YEAR(Table1[[#This Row],[Order_Date]])</f>
        <v>2026</v>
      </c>
    </row>
    <row r="250" spans="1:15" x14ac:dyDescent="0.3">
      <c r="A250" t="s">
        <v>281</v>
      </c>
      <c r="B250" s="1">
        <v>46069</v>
      </c>
      <c r="C250" t="s">
        <v>12</v>
      </c>
      <c r="D250" t="s">
        <v>34</v>
      </c>
      <c r="E250" t="s">
        <v>25</v>
      </c>
      <c r="F250" s="3">
        <v>8</v>
      </c>
      <c r="G250" s="4">
        <v>10260</v>
      </c>
      <c r="H250" s="4">
        <v>82080</v>
      </c>
      <c r="I250" s="4">
        <v>64176.56</v>
      </c>
      <c r="J250" s="4">
        <v>17903.439999999999</v>
      </c>
      <c r="K250" t="s">
        <v>26</v>
      </c>
      <c r="L250" s="3">
        <f>(Table1[[#This Row],[Profit]]/Table1[[#This Row],[Sales_Amount]])*100</f>
        <v>21.812183235867444</v>
      </c>
      <c r="M250" s="4" t="str" cm="1">
        <f t="array" ref="M250">_xlfn.IFS(Table1[[#This Row],[Sales_Amount]]&gt;200000,"High",AND(Table1[[#This Row],[Sales_Amount]]&gt;100000,Table1[[#This Row],[Sales_Amount]]&lt;200000),"Medium",Table1[[#This Row],[Sales_Amount]]&lt;100000,"Low")</f>
        <v>Low</v>
      </c>
      <c r="N250" t="str">
        <f>TEXT(Table1[[#This Row],[Order_Date]],"MMMM")</f>
        <v>February</v>
      </c>
      <c r="O250">
        <f>YEAR(Table1[[#This Row],[Order_Date]])</f>
        <v>2026</v>
      </c>
    </row>
    <row r="251" spans="1:15" x14ac:dyDescent="0.3">
      <c r="A251" t="s">
        <v>282</v>
      </c>
      <c r="B251" s="1">
        <v>46070</v>
      </c>
      <c r="C251" t="s">
        <v>40</v>
      </c>
      <c r="D251" t="s">
        <v>56</v>
      </c>
      <c r="E251" t="s">
        <v>37</v>
      </c>
      <c r="F251" s="3">
        <v>10</v>
      </c>
      <c r="G251" s="4">
        <v>48952</v>
      </c>
      <c r="H251" s="4">
        <v>489520</v>
      </c>
      <c r="I251" s="4">
        <v>417453.15</v>
      </c>
      <c r="J251" s="4">
        <v>72066.850000000006</v>
      </c>
      <c r="K251" t="s">
        <v>26</v>
      </c>
      <c r="L251" s="3">
        <f>(Table1[[#This Row],[Profit]]/Table1[[#This Row],[Sales_Amount]])*100</f>
        <v>14.721941902271615</v>
      </c>
      <c r="M251" s="4" t="str" cm="1">
        <f t="array" ref="M251">_xlfn.IFS(Table1[[#This Row],[Sales_Amount]]&gt;200000,"High",AND(Table1[[#This Row],[Sales_Amount]]&gt;100000,Table1[[#This Row],[Sales_Amount]]&lt;200000),"Medium",Table1[[#This Row],[Sales_Amount]]&lt;100000,"Low")</f>
        <v>High</v>
      </c>
      <c r="N251" t="str">
        <f>TEXT(Table1[[#This Row],[Order_Date]],"MMMM")</f>
        <v>February</v>
      </c>
      <c r="O251">
        <f>YEAR(Table1[[#This Row],[Order_Date]])</f>
        <v>2026</v>
      </c>
    </row>
    <row r="252" spans="1:15" x14ac:dyDescent="0.3">
      <c r="A252" t="s">
        <v>283</v>
      </c>
      <c r="B252" s="1">
        <v>46071</v>
      </c>
      <c r="C252" t="s">
        <v>28</v>
      </c>
      <c r="D252" t="s">
        <v>44</v>
      </c>
      <c r="E252" t="s">
        <v>14</v>
      </c>
      <c r="F252" s="3">
        <v>6</v>
      </c>
      <c r="G252" s="4">
        <v>22208</v>
      </c>
      <c r="H252" s="4">
        <v>133248</v>
      </c>
      <c r="I252" s="4">
        <v>106883.81</v>
      </c>
      <c r="J252" s="4">
        <v>26364.19</v>
      </c>
      <c r="K252" t="s">
        <v>15</v>
      </c>
      <c r="L252" s="3">
        <f>(Table1[[#This Row],[Profit]]/Table1[[#This Row],[Sales_Amount]])*100</f>
        <v>19.785805415465898</v>
      </c>
      <c r="M252" s="4" t="str" cm="1">
        <f t="array" ref="M252">_xlfn.IFS(Table1[[#This Row],[Sales_Amount]]&gt;200000,"High",AND(Table1[[#This Row],[Sales_Amount]]&gt;100000,Table1[[#This Row],[Sales_Amount]]&lt;200000),"Medium",Table1[[#This Row],[Sales_Amount]]&lt;100000,"Low")</f>
        <v>Medium</v>
      </c>
      <c r="N252" t="str">
        <f>TEXT(Table1[[#This Row],[Order_Date]],"MMMM")</f>
        <v>February</v>
      </c>
      <c r="O252">
        <f>YEAR(Table1[[#This Row],[Order_Date]])</f>
        <v>2026</v>
      </c>
    </row>
    <row r="253" spans="1:15" x14ac:dyDescent="0.3">
      <c r="A253" t="s">
        <v>284</v>
      </c>
      <c r="B253" s="1">
        <v>46072</v>
      </c>
      <c r="C253" t="s">
        <v>12</v>
      </c>
      <c r="D253" t="s">
        <v>18</v>
      </c>
      <c r="E253" t="s">
        <v>37</v>
      </c>
      <c r="F253" s="3">
        <v>5</v>
      </c>
      <c r="G253" s="4">
        <v>43464</v>
      </c>
      <c r="H253" s="4">
        <v>217320</v>
      </c>
      <c r="I253" s="4">
        <v>181434.21</v>
      </c>
      <c r="J253" s="4">
        <v>35885.79</v>
      </c>
      <c r="K253" t="s">
        <v>58</v>
      </c>
      <c r="L253" s="3">
        <f>(Table1[[#This Row],[Profit]]/Table1[[#This Row],[Sales_Amount]])*100</f>
        <v>16.512879624516842</v>
      </c>
      <c r="M253" s="4" t="str" cm="1">
        <f t="array" ref="M253">_xlfn.IFS(Table1[[#This Row],[Sales_Amount]]&gt;200000,"High",AND(Table1[[#This Row],[Sales_Amount]]&gt;100000,Table1[[#This Row],[Sales_Amount]]&lt;200000),"Medium",Table1[[#This Row],[Sales_Amount]]&lt;100000,"Low")</f>
        <v>High</v>
      </c>
      <c r="N253" t="str">
        <f>TEXT(Table1[[#This Row],[Order_Date]],"MMMM")</f>
        <v>February</v>
      </c>
      <c r="O253">
        <f>YEAR(Table1[[#This Row],[Order_Date]])</f>
        <v>2026</v>
      </c>
    </row>
    <row r="254" spans="1:15" x14ac:dyDescent="0.3">
      <c r="A254" t="s">
        <v>285</v>
      </c>
      <c r="B254" s="1">
        <v>46073</v>
      </c>
      <c r="C254" t="s">
        <v>12</v>
      </c>
      <c r="D254" t="s">
        <v>18</v>
      </c>
      <c r="E254" t="s">
        <v>25</v>
      </c>
      <c r="F254" s="3">
        <v>10</v>
      </c>
      <c r="G254" s="4">
        <v>25416</v>
      </c>
      <c r="H254" s="4">
        <v>254160</v>
      </c>
      <c r="I254" s="4">
        <v>163763.6</v>
      </c>
      <c r="J254" s="4">
        <v>90396.4</v>
      </c>
      <c r="K254" t="s">
        <v>15</v>
      </c>
      <c r="L254" s="3">
        <f>(Table1[[#This Row],[Profit]]/Table1[[#This Row],[Sales_Amount]])*100</f>
        <v>35.566729619137547</v>
      </c>
      <c r="M254" s="4" t="str" cm="1">
        <f t="array" ref="M254">_xlfn.IFS(Table1[[#This Row],[Sales_Amount]]&gt;200000,"High",AND(Table1[[#This Row],[Sales_Amount]]&gt;100000,Table1[[#This Row],[Sales_Amount]]&lt;200000),"Medium",Table1[[#This Row],[Sales_Amount]]&lt;100000,"Low")</f>
        <v>High</v>
      </c>
      <c r="N254" t="str">
        <f>TEXT(Table1[[#This Row],[Order_Date]],"MMMM")</f>
        <v>February</v>
      </c>
      <c r="O254">
        <f>YEAR(Table1[[#This Row],[Order_Date]])</f>
        <v>2026</v>
      </c>
    </row>
    <row r="255" spans="1:15" x14ac:dyDescent="0.3">
      <c r="A255" t="s">
        <v>286</v>
      </c>
      <c r="B255" s="1">
        <v>46074</v>
      </c>
      <c r="C255" t="s">
        <v>28</v>
      </c>
      <c r="D255" t="s">
        <v>51</v>
      </c>
      <c r="E255" t="s">
        <v>14</v>
      </c>
      <c r="F255" s="3">
        <v>8</v>
      </c>
      <c r="G255" s="4">
        <v>21058</v>
      </c>
      <c r="H255" s="4">
        <v>168464</v>
      </c>
      <c r="I255" s="4">
        <v>122243.22</v>
      </c>
      <c r="J255" s="4">
        <v>46220.78</v>
      </c>
      <c r="K255" t="s">
        <v>58</v>
      </c>
      <c r="L255" s="3">
        <f>(Table1[[#This Row],[Profit]]/Table1[[#This Row],[Sales_Amount]])*100</f>
        <v>27.436591794092507</v>
      </c>
      <c r="M255" s="4" t="str" cm="1">
        <f t="array" ref="M255">_xlfn.IFS(Table1[[#This Row],[Sales_Amount]]&gt;200000,"High",AND(Table1[[#This Row],[Sales_Amount]]&gt;100000,Table1[[#This Row],[Sales_Amount]]&lt;200000),"Medium",Table1[[#This Row],[Sales_Amount]]&lt;100000,"Low")</f>
        <v>Medium</v>
      </c>
      <c r="N255" t="str">
        <f>TEXT(Table1[[#This Row],[Order_Date]],"MMMM")</f>
        <v>February</v>
      </c>
      <c r="O255">
        <f>YEAR(Table1[[#This Row],[Order_Date]])</f>
        <v>2026</v>
      </c>
    </row>
    <row r="256" spans="1:15" x14ac:dyDescent="0.3">
      <c r="A256" t="s">
        <v>287</v>
      </c>
      <c r="B256" s="1">
        <v>46075</v>
      </c>
      <c r="C256" t="s">
        <v>12</v>
      </c>
      <c r="D256" t="s">
        <v>51</v>
      </c>
      <c r="E256" t="s">
        <v>25</v>
      </c>
      <c r="F256" s="3">
        <v>8</v>
      </c>
      <c r="G256" s="4">
        <v>48723</v>
      </c>
      <c r="H256" s="4">
        <v>389784</v>
      </c>
      <c r="I256" s="4">
        <v>318929.31</v>
      </c>
      <c r="J256" s="4">
        <v>70854.69</v>
      </c>
      <c r="K256" t="s">
        <v>26</v>
      </c>
      <c r="L256" s="3">
        <f>(Table1[[#This Row],[Profit]]/Table1[[#This Row],[Sales_Amount]])*100</f>
        <v>18.17793701126778</v>
      </c>
      <c r="M256" s="4" t="str" cm="1">
        <f t="array" ref="M256">_xlfn.IFS(Table1[[#This Row],[Sales_Amount]]&gt;200000,"High",AND(Table1[[#This Row],[Sales_Amount]]&gt;100000,Table1[[#This Row],[Sales_Amount]]&lt;200000),"Medium",Table1[[#This Row],[Sales_Amount]]&lt;100000,"Low")</f>
        <v>High</v>
      </c>
      <c r="N256" t="str">
        <f>TEXT(Table1[[#This Row],[Order_Date]],"MMMM")</f>
        <v>February</v>
      </c>
      <c r="O256">
        <f>YEAR(Table1[[#This Row],[Order_Date]])</f>
        <v>2026</v>
      </c>
    </row>
    <row r="257" spans="1:15" x14ac:dyDescent="0.3">
      <c r="A257" t="s">
        <v>288</v>
      </c>
      <c r="B257" s="1">
        <v>46076</v>
      </c>
      <c r="C257" t="s">
        <v>12</v>
      </c>
      <c r="D257" t="s">
        <v>56</v>
      </c>
      <c r="E257" t="s">
        <v>37</v>
      </c>
      <c r="F257" s="3">
        <v>9</v>
      </c>
      <c r="G257" s="4">
        <v>25195</v>
      </c>
      <c r="H257" s="4">
        <v>226755</v>
      </c>
      <c r="I257" s="4">
        <v>157396.49</v>
      </c>
      <c r="J257" s="4">
        <v>69358.509999999995</v>
      </c>
      <c r="K257" t="s">
        <v>26</v>
      </c>
      <c r="L257" s="3">
        <f>(Table1[[#This Row],[Profit]]/Table1[[#This Row],[Sales_Amount]])*100</f>
        <v>30.58742254856563</v>
      </c>
      <c r="M257" s="4" t="str" cm="1">
        <f t="array" ref="M257">_xlfn.IFS(Table1[[#This Row],[Sales_Amount]]&gt;200000,"High",AND(Table1[[#This Row],[Sales_Amount]]&gt;100000,Table1[[#This Row],[Sales_Amount]]&lt;200000),"Medium",Table1[[#This Row],[Sales_Amount]]&lt;100000,"Low")</f>
        <v>High</v>
      </c>
      <c r="N257" t="str">
        <f>TEXT(Table1[[#This Row],[Order_Date]],"MMMM")</f>
        <v>February</v>
      </c>
      <c r="O257">
        <f>YEAR(Table1[[#This Row],[Order_Date]])</f>
        <v>2026</v>
      </c>
    </row>
    <row r="258" spans="1:15" x14ac:dyDescent="0.3">
      <c r="A258" t="s">
        <v>289</v>
      </c>
      <c r="B258" s="1">
        <v>46077</v>
      </c>
      <c r="C258" t="s">
        <v>12</v>
      </c>
      <c r="D258" t="s">
        <v>44</v>
      </c>
      <c r="E258" t="s">
        <v>32</v>
      </c>
      <c r="F258" s="3">
        <v>5</v>
      </c>
      <c r="G258" s="4">
        <v>40481</v>
      </c>
      <c r="H258" s="4">
        <v>202405</v>
      </c>
      <c r="I258" s="4">
        <v>150843.14000000001</v>
      </c>
      <c r="J258" s="4">
        <v>51561.86</v>
      </c>
      <c r="K258" t="s">
        <v>26</v>
      </c>
      <c r="L258" s="3">
        <f>(Table1[[#This Row],[Profit]]/Table1[[#This Row],[Sales_Amount]])*100</f>
        <v>25.47459795953657</v>
      </c>
      <c r="M258" s="4" t="str" cm="1">
        <f t="array" ref="M258">_xlfn.IFS(Table1[[#This Row],[Sales_Amount]]&gt;200000,"High",AND(Table1[[#This Row],[Sales_Amount]]&gt;100000,Table1[[#This Row],[Sales_Amount]]&lt;200000),"Medium",Table1[[#This Row],[Sales_Amount]]&lt;100000,"Low")</f>
        <v>High</v>
      </c>
      <c r="N258" t="str">
        <f>TEXT(Table1[[#This Row],[Order_Date]],"MMMM")</f>
        <v>February</v>
      </c>
      <c r="O258">
        <f>YEAR(Table1[[#This Row],[Order_Date]])</f>
        <v>2026</v>
      </c>
    </row>
    <row r="259" spans="1:15" x14ac:dyDescent="0.3">
      <c r="A259" t="s">
        <v>290</v>
      </c>
      <c r="B259" s="1">
        <v>46078</v>
      </c>
      <c r="C259" t="s">
        <v>28</v>
      </c>
      <c r="D259" t="s">
        <v>34</v>
      </c>
      <c r="E259" t="s">
        <v>32</v>
      </c>
      <c r="F259" s="3">
        <v>5</v>
      </c>
      <c r="G259" s="4">
        <v>46696</v>
      </c>
      <c r="H259" s="4">
        <v>233480</v>
      </c>
      <c r="I259" s="4">
        <v>154606.57</v>
      </c>
      <c r="J259" s="4">
        <v>78873.429999999993</v>
      </c>
      <c r="K259" t="s">
        <v>58</v>
      </c>
      <c r="L259" s="3">
        <f>(Table1[[#This Row],[Profit]]/Table1[[#This Row],[Sales_Amount]])*100</f>
        <v>33.781664382388207</v>
      </c>
      <c r="M259" s="4" t="str" cm="1">
        <f t="array" ref="M259">_xlfn.IFS(Table1[[#This Row],[Sales_Amount]]&gt;200000,"High",AND(Table1[[#This Row],[Sales_Amount]]&gt;100000,Table1[[#This Row],[Sales_Amount]]&lt;200000),"Medium",Table1[[#This Row],[Sales_Amount]]&lt;100000,"Low")</f>
        <v>High</v>
      </c>
      <c r="N259" t="str">
        <f>TEXT(Table1[[#This Row],[Order_Date]],"MMMM")</f>
        <v>February</v>
      </c>
      <c r="O259">
        <f>YEAR(Table1[[#This Row],[Order_Date]])</f>
        <v>2026</v>
      </c>
    </row>
    <row r="260" spans="1:15" x14ac:dyDescent="0.3">
      <c r="A260" t="s">
        <v>291</v>
      </c>
      <c r="B260" s="1">
        <v>46079</v>
      </c>
      <c r="C260" t="s">
        <v>28</v>
      </c>
      <c r="D260" t="s">
        <v>21</v>
      </c>
      <c r="E260" t="s">
        <v>25</v>
      </c>
      <c r="F260" s="3">
        <v>5</v>
      </c>
      <c r="G260" s="4">
        <v>19360</v>
      </c>
      <c r="H260" s="4">
        <v>96800</v>
      </c>
      <c r="I260" s="4">
        <v>61619.22</v>
      </c>
      <c r="J260" s="4">
        <v>35180.78</v>
      </c>
      <c r="K260" t="s">
        <v>26</v>
      </c>
      <c r="L260" s="3">
        <f>(Table1[[#This Row],[Profit]]/Table1[[#This Row],[Sales_Amount]])*100</f>
        <v>36.343780991735535</v>
      </c>
      <c r="M260" s="4" t="str" cm="1">
        <f t="array" ref="M260">_xlfn.IFS(Table1[[#This Row],[Sales_Amount]]&gt;200000,"High",AND(Table1[[#This Row],[Sales_Amount]]&gt;100000,Table1[[#This Row],[Sales_Amount]]&lt;200000),"Medium",Table1[[#This Row],[Sales_Amount]]&lt;100000,"Low")</f>
        <v>Low</v>
      </c>
      <c r="N260" t="str">
        <f>TEXT(Table1[[#This Row],[Order_Date]],"MMMM")</f>
        <v>February</v>
      </c>
      <c r="O260">
        <f>YEAR(Table1[[#This Row],[Order_Date]])</f>
        <v>2026</v>
      </c>
    </row>
    <row r="261" spans="1:15" x14ac:dyDescent="0.3">
      <c r="A261" t="s">
        <v>292</v>
      </c>
      <c r="B261" s="1">
        <v>46080</v>
      </c>
      <c r="C261" t="s">
        <v>17</v>
      </c>
      <c r="D261" t="s">
        <v>34</v>
      </c>
      <c r="E261" t="s">
        <v>32</v>
      </c>
      <c r="F261" s="3">
        <v>1</v>
      </c>
      <c r="G261" s="4">
        <v>19350</v>
      </c>
      <c r="H261" s="4">
        <v>19350</v>
      </c>
      <c r="I261" s="4">
        <v>17155.599999999999</v>
      </c>
      <c r="J261" s="4">
        <v>2194.4</v>
      </c>
      <c r="K261" t="s">
        <v>58</v>
      </c>
      <c r="L261" s="3">
        <f>(Table1[[#This Row],[Profit]]/Table1[[#This Row],[Sales_Amount]])*100</f>
        <v>11.340568475452196</v>
      </c>
      <c r="M261" s="4" t="str" cm="1">
        <f t="array" ref="M261">_xlfn.IFS(Table1[[#This Row],[Sales_Amount]]&gt;200000,"High",AND(Table1[[#This Row],[Sales_Amount]]&gt;100000,Table1[[#This Row],[Sales_Amount]]&lt;200000),"Medium",Table1[[#This Row],[Sales_Amount]]&lt;100000,"Low")</f>
        <v>Low</v>
      </c>
      <c r="N261" t="str">
        <f>TEXT(Table1[[#This Row],[Order_Date]],"MMMM")</f>
        <v>February</v>
      </c>
      <c r="O261">
        <f>YEAR(Table1[[#This Row],[Order_Date]])</f>
        <v>2026</v>
      </c>
    </row>
    <row r="262" spans="1:15" x14ac:dyDescent="0.3">
      <c r="A262" t="s">
        <v>293</v>
      </c>
      <c r="B262" s="1">
        <v>46081</v>
      </c>
      <c r="C262" t="s">
        <v>40</v>
      </c>
      <c r="D262" t="s">
        <v>44</v>
      </c>
      <c r="E262" t="s">
        <v>32</v>
      </c>
      <c r="F262" s="3">
        <v>8</v>
      </c>
      <c r="G262" s="4">
        <v>14523</v>
      </c>
      <c r="H262" s="4">
        <v>116184</v>
      </c>
      <c r="I262" s="4">
        <v>76753.52</v>
      </c>
      <c r="J262" s="4">
        <v>39430.480000000003</v>
      </c>
      <c r="K262" t="s">
        <v>23</v>
      </c>
      <c r="L262" s="3">
        <f>(Table1[[#This Row],[Profit]]/Table1[[#This Row],[Sales_Amount]])*100</f>
        <v>33.937960476485578</v>
      </c>
      <c r="M262" s="4" t="str" cm="1">
        <f t="array" ref="M262">_xlfn.IFS(Table1[[#This Row],[Sales_Amount]]&gt;200000,"High",AND(Table1[[#This Row],[Sales_Amount]]&gt;100000,Table1[[#This Row],[Sales_Amount]]&lt;200000),"Medium",Table1[[#This Row],[Sales_Amount]]&lt;100000,"Low")</f>
        <v>Medium</v>
      </c>
      <c r="N262" t="str">
        <f>TEXT(Table1[[#This Row],[Order_Date]],"MMMM")</f>
        <v>February</v>
      </c>
      <c r="O262">
        <f>YEAR(Table1[[#This Row],[Order_Date]])</f>
        <v>2026</v>
      </c>
    </row>
    <row r="263" spans="1:15" x14ac:dyDescent="0.3">
      <c r="A263" t="s">
        <v>294</v>
      </c>
      <c r="B263" s="1">
        <v>46082</v>
      </c>
      <c r="C263" t="s">
        <v>12</v>
      </c>
      <c r="D263" t="s">
        <v>51</v>
      </c>
      <c r="E263" t="s">
        <v>25</v>
      </c>
      <c r="F263" s="3">
        <v>10</v>
      </c>
      <c r="G263" s="4">
        <v>16181</v>
      </c>
      <c r="H263" s="4">
        <v>161810</v>
      </c>
      <c r="I263" s="4">
        <v>108855.64</v>
      </c>
      <c r="J263" s="4">
        <v>52954.36</v>
      </c>
      <c r="K263" t="s">
        <v>15</v>
      </c>
      <c r="L263" s="3">
        <f>(Table1[[#This Row],[Profit]]/Table1[[#This Row],[Sales_Amount]])*100</f>
        <v>32.726259192880541</v>
      </c>
      <c r="M263" s="4" t="str" cm="1">
        <f t="array" ref="M263">_xlfn.IFS(Table1[[#This Row],[Sales_Amount]]&gt;200000,"High",AND(Table1[[#This Row],[Sales_Amount]]&gt;100000,Table1[[#This Row],[Sales_Amount]]&lt;200000),"Medium",Table1[[#This Row],[Sales_Amount]]&lt;100000,"Low")</f>
        <v>Medium</v>
      </c>
      <c r="N263" t="str">
        <f>TEXT(Table1[[#This Row],[Order_Date]],"MMMM")</f>
        <v>March</v>
      </c>
      <c r="O263">
        <f>YEAR(Table1[[#This Row],[Order_Date]])</f>
        <v>2026</v>
      </c>
    </row>
    <row r="264" spans="1:15" x14ac:dyDescent="0.3">
      <c r="A264" t="s">
        <v>295</v>
      </c>
      <c r="B264" s="1">
        <v>46083</v>
      </c>
      <c r="C264" t="s">
        <v>12</v>
      </c>
      <c r="D264" t="s">
        <v>18</v>
      </c>
      <c r="E264" t="s">
        <v>37</v>
      </c>
      <c r="F264" s="3">
        <v>6</v>
      </c>
      <c r="G264" s="4">
        <v>47512</v>
      </c>
      <c r="H264" s="4">
        <v>285072</v>
      </c>
      <c r="I264" s="4">
        <v>211443.94</v>
      </c>
      <c r="J264" s="4">
        <v>73628.06</v>
      </c>
      <c r="K264" t="s">
        <v>23</v>
      </c>
      <c r="L264" s="3">
        <f>(Table1[[#This Row],[Profit]]/Table1[[#This Row],[Sales_Amount]])*100</f>
        <v>25.827882078913394</v>
      </c>
      <c r="M264" s="4" t="str" cm="1">
        <f t="array" ref="M264">_xlfn.IFS(Table1[[#This Row],[Sales_Amount]]&gt;200000,"High",AND(Table1[[#This Row],[Sales_Amount]]&gt;100000,Table1[[#This Row],[Sales_Amount]]&lt;200000),"Medium",Table1[[#This Row],[Sales_Amount]]&lt;100000,"Low")</f>
        <v>High</v>
      </c>
      <c r="N264" t="str">
        <f>TEXT(Table1[[#This Row],[Order_Date]],"MMMM")</f>
        <v>March</v>
      </c>
      <c r="O264">
        <f>YEAR(Table1[[#This Row],[Order_Date]])</f>
        <v>2026</v>
      </c>
    </row>
    <row r="265" spans="1:15" x14ac:dyDescent="0.3">
      <c r="A265" t="s">
        <v>296</v>
      </c>
      <c r="B265" s="1">
        <v>46084</v>
      </c>
      <c r="C265" t="s">
        <v>40</v>
      </c>
      <c r="D265" t="s">
        <v>34</v>
      </c>
      <c r="E265" t="s">
        <v>19</v>
      </c>
      <c r="F265" s="3">
        <v>8</v>
      </c>
      <c r="G265" s="4">
        <v>31790</v>
      </c>
      <c r="H265" s="4">
        <v>254320</v>
      </c>
      <c r="I265" s="4">
        <v>202225.5</v>
      </c>
      <c r="J265" s="4">
        <v>52094.5</v>
      </c>
      <c r="K265" t="s">
        <v>26</v>
      </c>
      <c r="L265" s="3">
        <f>(Table1[[#This Row],[Profit]]/Table1[[#This Row],[Sales_Amount]])*100</f>
        <v>20.483839257628183</v>
      </c>
      <c r="M265" s="4" t="str" cm="1">
        <f t="array" ref="M265">_xlfn.IFS(Table1[[#This Row],[Sales_Amount]]&gt;200000,"High",AND(Table1[[#This Row],[Sales_Amount]]&gt;100000,Table1[[#This Row],[Sales_Amount]]&lt;200000),"Medium",Table1[[#This Row],[Sales_Amount]]&lt;100000,"Low")</f>
        <v>High</v>
      </c>
      <c r="N265" t="str">
        <f>TEXT(Table1[[#This Row],[Order_Date]],"MMMM")</f>
        <v>March</v>
      </c>
      <c r="O265">
        <f>YEAR(Table1[[#This Row],[Order_Date]])</f>
        <v>2026</v>
      </c>
    </row>
    <row r="266" spans="1:15" x14ac:dyDescent="0.3">
      <c r="A266" t="s">
        <v>297</v>
      </c>
      <c r="B266" s="1">
        <v>46085</v>
      </c>
      <c r="C266" t="s">
        <v>17</v>
      </c>
      <c r="D266" t="s">
        <v>13</v>
      </c>
      <c r="E266" t="s">
        <v>14</v>
      </c>
      <c r="F266" s="3">
        <v>2</v>
      </c>
      <c r="G266" s="4">
        <v>43249</v>
      </c>
      <c r="H266" s="4">
        <v>86498</v>
      </c>
      <c r="I266" s="4">
        <v>66797.22</v>
      </c>
      <c r="J266" s="4">
        <v>19700.78</v>
      </c>
      <c r="K266" t="s">
        <v>58</v>
      </c>
      <c r="L266" s="3">
        <f>(Table1[[#This Row],[Profit]]/Table1[[#This Row],[Sales_Amount]])*100</f>
        <v>22.775994820689494</v>
      </c>
      <c r="M266" s="4" t="str" cm="1">
        <f t="array" ref="M266">_xlfn.IFS(Table1[[#This Row],[Sales_Amount]]&gt;200000,"High",AND(Table1[[#This Row],[Sales_Amount]]&gt;100000,Table1[[#This Row],[Sales_Amount]]&lt;200000),"Medium",Table1[[#This Row],[Sales_Amount]]&lt;100000,"Low")</f>
        <v>Low</v>
      </c>
      <c r="N266" t="str">
        <f>TEXT(Table1[[#This Row],[Order_Date]],"MMMM")</f>
        <v>March</v>
      </c>
      <c r="O266">
        <f>YEAR(Table1[[#This Row],[Order_Date]])</f>
        <v>2026</v>
      </c>
    </row>
    <row r="267" spans="1:15" x14ac:dyDescent="0.3">
      <c r="A267" t="s">
        <v>298</v>
      </c>
      <c r="B267" s="1">
        <v>46086</v>
      </c>
      <c r="C267" t="s">
        <v>40</v>
      </c>
      <c r="D267" t="s">
        <v>18</v>
      </c>
      <c r="E267" t="s">
        <v>14</v>
      </c>
      <c r="F267" s="3">
        <v>7</v>
      </c>
      <c r="G267" s="4">
        <v>32965</v>
      </c>
      <c r="H267" s="4">
        <v>230755</v>
      </c>
      <c r="I267" s="4">
        <v>151350.70000000001</v>
      </c>
      <c r="J267" s="4">
        <v>79404.3</v>
      </c>
      <c r="K267" t="s">
        <v>15</v>
      </c>
      <c r="L267" s="3">
        <f>(Table1[[#This Row],[Profit]]/Table1[[#This Row],[Sales_Amount]])*100</f>
        <v>34.410651990206063</v>
      </c>
      <c r="M267" s="4" t="str" cm="1">
        <f t="array" ref="M267">_xlfn.IFS(Table1[[#This Row],[Sales_Amount]]&gt;200000,"High",AND(Table1[[#This Row],[Sales_Amount]]&gt;100000,Table1[[#This Row],[Sales_Amount]]&lt;200000),"Medium",Table1[[#This Row],[Sales_Amount]]&lt;100000,"Low")</f>
        <v>High</v>
      </c>
      <c r="N267" t="str">
        <f>TEXT(Table1[[#This Row],[Order_Date]],"MMMM")</f>
        <v>March</v>
      </c>
      <c r="O267">
        <f>YEAR(Table1[[#This Row],[Order_Date]])</f>
        <v>2026</v>
      </c>
    </row>
    <row r="268" spans="1:15" x14ac:dyDescent="0.3">
      <c r="A268" t="s">
        <v>299</v>
      </c>
      <c r="B268" s="1">
        <v>46087</v>
      </c>
      <c r="C268" t="s">
        <v>40</v>
      </c>
      <c r="D268" t="s">
        <v>44</v>
      </c>
      <c r="E268" t="s">
        <v>25</v>
      </c>
      <c r="F268" s="3">
        <v>10</v>
      </c>
      <c r="G268" s="4">
        <v>7532</v>
      </c>
      <c r="H268" s="4">
        <v>75320</v>
      </c>
      <c r="I268" s="4">
        <v>66171.37</v>
      </c>
      <c r="J268" s="4">
        <v>9148.6299999999992</v>
      </c>
      <c r="K268" t="s">
        <v>58</v>
      </c>
      <c r="L268" s="3">
        <f>(Table1[[#This Row],[Profit]]/Table1[[#This Row],[Sales_Amount]])*100</f>
        <v>12.146348911311735</v>
      </c>
      <c r="M268" s="4" t="str" cm="1">
        <f t="array" ref="M268">_xlfn.IFS(Table1[[#This Row],[Sales_Amount]]&gt;200000,"High",AND(Table1[[#This Row],[Sales_Amount]]&gt;100000,Table1[[#This Row],[Sales_Amount]]&lt;200000),"Medium",Table1[[#This Row],[Sales_Amount]]&lt;100000,"Low")</f>
        <v>Low</v>
      </c>
      <c r="N268" t="str">
        <f>TEXT(Table1[[#This Row],[Order_Date]],"MMMM")</f>
        <v>March</v>
      </c>
      <c r="O268">
        <f>YEAR(Table1[[#This Row],[Order_Date]])</f>
        <v>2026</v>
      </c>
    </row>
    <row r="269" spans="1:15" x14ac:dyDescent="0.3">
      <c r="A269" t="s">
        <v>300</v>
      </c>
      <c r="B269" s="1">
        <v>46088</v>
      </c>
      <c r="C269" t="s">
        <v>12</v>
      </c>
      <c r="D269" t="s">
        <v>56</v>
      </c>
      <c r="E269" t="s">
        <v>25</v>
      </c>
      <c r="F269" s="3">
        <v>9</v>
      </c>
      <c r="G269" s="4">
        <v>32869</v>
      </c>
      <c r="H269" s="4">
        <v>295821</v>
      </c>
      <c r="I269" s="4">
        <v>256411.13</v>
      </c>
      <c r="J269" s="4">
        <v>39409.870000000003</v>
      </c>
      <c r="K269" t="s">
        <v>26</v>
      </c>
      <c r="L269" s="3">
        <f>(Table1[[#This Row],[Profit]]/Table1[[#This Row],[Sales_Amount]])*100</f>
        <v>13.322201601644238</v>
      </c>
      <c r="M269" s="4" t="str" cm="1">
        <f t="array" ref="M269">_xlfn.IFS(Table1[[#This Row],[Sales_Amount]]&gt;200000,"High",AND(Table1[[#This Row],[Sales_Amount]]&gt;100000,Table1[[#This Row],[Sales_Amount]]&lt;200000),"Medium",Table1[[#This Row],[Sales_Amount]]&lt;100000,"Low")</f>
        <v>High</v>
      </c>
      <c r="N269" t="str">
        <f>TEXT(Table1[[#This Row],[Order_Date]],"MMMM")</f>
        <v>March</v>
      </c>
      <c r="O269">
        <f>YEAR(Table1[[#This Row],[Order_Date]])</f>
        <v>2026</v>
      </c>
    </row>
    <row r="270" spans="1:15" x14ac:dyDescent="0.3">
      <c r="A270" t="s">
        <v>301</v>
      </c>
      <c r="B270" s="1">
        <v>46089</v>
      </c>
      <c r="C270" t="s">
        <v>40</v>
      </c>
      <c r="D270" t="s">
        <v>13</v>
      </c>
      <c r="E270" t="s">
        <v>14</v>
      </c>
      <c r="F270" s="3">
        <v>6</v>
      </c>
      <c r="G270" s="4">
        <v>11149</v>
      </c>
      <c r="H270" s="4">
        <v>66894</v>
      </c>
      <c r="I270" s="4">
        <v>54808.65</v>
      </c>
      <c r="J270" s="4">
        <v>12085.35</v>
      </c>
      <c r="K270" t="s">
        <v>15</v>
      </c>
      <c r="L270" s="3">
        <f>(Table1[[#This Row],[Profit]]/Table1[[#This Row],[Sales_Amount]])*100</f>
        <v>18.06641851287111</v>
      </c>
      <c r="M270" s="4" t="str" cm="1">
        <f t="array" ref="M270">_xlfn.IFS(Table1[[#This Row],[Sales_Amount]]&gt;200000,"High",AND(Table1[[#This Row],[Sales_Amount]]&gt;100000,Table1[[#This Row],[Sales_Amount]]&lt;200000),"Medium",Table1[[#This Row],[Sales_Amount]]&lt;100000,"Low")</f>
        <v>Low</v>
      </c>
      <c r="N270" t="str">
        <f>TEXT(Table1[[#This Row],[Order_Date]],"MMMM")</f>
        <v>March</v>
      </c>
      <c r="O270">
        <f>YEAR(Table1[[#This Row],[Order_Date]])</f>
        <v>2026</v>
      </c>
    </row>
    <row r="271" spans="1:15" x14ac:dyDescent="0.3">
      <c r="A271" t="s">
        <v>302</v>
      </c>
      <c r="B271" s="1">
        <v>46090</v>
      </c>
      <c r="C271" t="s">
        <v>12</v>
      </c>
      <c r="D271" t="s">
        <v>21</v>
      </c>
      <c r="E271" t="s">
        <v>32</v>
      </c>
      <c r="F271" s="3">
        <v>10</v>
      </c>
      <c r="G271" s="4">
        <v>44697</v>
      </c>
      <c r="H271" s="4">
        <v>446970</v>
      </c>
      <c r="I271" s="4">
        <v>369726.8</v>
      </c>
      <c r="J271" s="4">
        <v>77243.199999999997</v>
      </c>
      <c r="K271" t="s">
        <v>58</v>
      </c>
      <c r="L271" s="3">
        <f>(Table1[[#This Row],[Profit]]/Table1[[#This Row],[Sales_Amount]])*100</f>
        <v>17.281517775242186</v>
      </c>
      <c r="M271" s="4" t="str" cm="1">
        <f t="array" ref="M271">_xlfn.IFS(Table1[[#This Row],[Sales_Amount]]&gt;200000,"High",AND(Table1[[#This Row],[Sales_Amount]]&gt;100000,Table1[[#This Row],[Sales_Amount]]&lt;200000),"Medium",Table1[[#This Row],[Sales_Amount]]&lt;100000,"Low")</f>
        <v>High</v>
      </c>
      <c r="N271" t="str">
        <f>TEXT(Table1[[#This Row],[Order_Date]],"MMMM")</f>
        <v>March</v>
      </c>
      <c r="O271">
        <f>YEAR(Table1[[#This Row],[Order_Date]])</f>
        <v>2026</v>
      </c>
    </row>
    <row r="272" spans="1:15" x14ac:dyDescent="0.3">
      <c r="A272" t="s">
        <v>303</v>
      </c>
      <c r="B272" s="1">
        <v>46091</v>
      </c>
      <c r="C272" t="s">
        <v>12</v>
      </c>
      <c r="D272" t="s">
        <v>13</v>
      </c>
      <c r="E272" t="s">
        <v>32</v>
      </c>
      <c r="F272" s="3">
        <v>2</v>
      </c>
      <c r="G272" s="4">
        <v>26769</v>
      </c>
      <c r="H272" s="4">
        <v>53538</v>
      </c>
      <c r="I272" s="4">
        <v>42871.99</v>
      </c>
      <c r="J272" s="4">
        <v>10666.01</v>
      </c>
      <c r="K272" t="s">
        <v>58</v>
      </c>
      <c r="L272" s="3">
        <f>(Table1[[#This Row],[Profit]]/Table1[[#This Row],[Sales_Amount]])*100</f>
        <v>19.922316859053382</v>
      </c>
      <c r="M272" s="4" t="str" cm="1">
        <f t="array" ref="M272">_xlfn.IFS(Table1[[#This Row],[Sales_Amount]]&gt;200000,"High",AND(Table1[[#This Row],[Sales_Amount]]&gt;100000,Table1[[#This Row],[Sales_Amount]]&lt;200000),"Medium",Table1[[#This Row],[Sales_Amount]]&lt;100000,"Low")</f>
        <v>Low</v>
      </c>
      <c r="N272" t="str">
        <f>TEXT(Table1[[#This Row],[Order_Date]],"MMMM")</f>
        <v>March</v>
      </c>
      <c r="O272">
        <f>YEAR(Table1[[#This Row],[Order_Date]])</f>
        <v>2026</v>
      </c>
    </row>
    <row r="273" spans="1:15" x14ac:dyDescent="0.3">
      <c r="A273" t="s">
        <v>304</v>
      </c>
      <c r="B273" s="1">
        <v>46092</v>
      </c>
      <c r="C273" t="s">
        <v>28</v>
      </c>
      <c r="D273" t="s">
        <v>44</v>
      </c>
      <c r="E273" t="s">
        <v>22</v>
      </c>
      <c r="F273" s="3">
        <v>1</v>
      </c>
      <c r="G273" s="4">
        <v>17590</v>
      </c>
      <c r="H273" s="4">
        <v>17590</v>
      </c>
      <c r="I273" s="4">
        <v>12578.12</v>
      </c>
      <c r="J273" s="4">
        <v>5011.88</v>
      </c>
      <c r="K273" t="s">
        <v>26</v>
      </c>
      <c r="L273" s="3">
        <f>(Table1[[#This Row],[Profit]]/Table1[[#This Row],[Sales_Amount]])*100</f>
        <v>28.492779988629902</v>
      </c>
      <c r="M273" s="4" t="str" cm="1">
        <f t="array" ref="M273">_xlfn.IFS(Table1[[#This Row],[Sales_Amount]]&gt;200000,"High",AND(Table1[[#This Row],[Sales_Amount]]&gt;100000,Table1[[#This Row],[Sales_Amount]]&lt;200000),"Medium",Table1[[#This Row],[Sales_Amount]]&lt;100000,"Low")</f>
        <v>Low</v>
      </c>
      <c r="N273" t="str">
        <f>TEXT(Table1[[#This Row],[Order_Date]],"MMMM")</f>
        <v>March</v>
      </c>
      <c r="O273">
        <f>YEAR(Table1[[#This Row],[Order_Date]])</f>
        <v>2026</v>
      </c>
    </row>
    <row r="274" spans="1:15" x14ac:dyDescent="0.3">
      <c r="A274" t="s">
        <v>305</v>
      </c>
      <c r="B274" s="1">
        <v>46093</v>
      </c>
      <c r="C274" t="s">
        <v>40</v>
      </c>
      <c r="D274" t="s">
        <v>51</v>
      </c>
      <c r="E274" t="s">
        <v>25</v>
      </c>
      <c r="F274" s="3">
        <v>10</v>
      </c>
      <c r="G274" s="4">
        <v>1249</v>
      </c>
      <c r="H274" s="4">
        <v>12490</v>
      </c>
      <c r="I274" s="4">
        <v>8474.0400000000009</v>
      </c>
      <c r="J274" s="4">
        <v>4015.96</v>
      </c>
      <c r="K274" t="s">
        <v>15</v>
      </c>
      <c r="L274" s="3">
        <f>(Table1[[#This Row],[Profit]]/Table1[[#This Row],[Sales_Amount]])*100</f>
        <v>32.153402722177745</v>
      </c>
      <c r="M274" s="4" t="str" cm="1">
        <f t="array" ref="M274">_xlfn.IFS(Table1[[#This Row],[Sales_Amount]]&gt;200000,"High",AND(Table1[[#This Row],[Sales_Amount]]&gt;100000,Table1[[#This Row],[Sales_Amount]]&lt;200000),"Medium",Table1[[#This Row],[Sales_Amount]]&lt;100000,"Low")</f>
        <v>Low</v>
      </c>
      <c r="N274" t="str">
        <f>TEXT(Table1[[#This Row],[Order_Date]],"MMMM")</f>
        <v>March</v>
      </c>
      <c r="O274">
        <f>YEAR(Table1[[#This Row],[Order_Date]])</f>
        <v>2026</v>
      </c>
    </row>
    <row r="275" spans="1:15" x14ac:dyDescent="0.3">
      <c r="A275" t="s">
        <v>306</v>
      </c>
      <c r="B275" s="1">
        <v>46094</v>
      </c>
      <c r="C275" t="s">
        <v>40</v>
      </c>
      <c r="D275" t="s">
        <v>29</v>
      </c>
      <c r="E275" t="s">
        <v>14</v>
      </c>
      <c r="F275" s="3">
        <v>8</v>
      </c>
      <c r="G275" s="4">
        <v>20606</v>
      </c>
      <c r="H275" s="4">
        <v>164848</v>
      </c>
      <c r="I275" s="4">
        <v>106807.5</v>
      </c>
      <c r="J275" s="4">
        <v>58040.5</v>
      </c>
      <c r="K275" t="s">
        <v>26</v>
      </c>
      <c r="L275" s="3">
        <f>(Table1[[#This Row],[Profit]]/Table1[[#This Row],[Sales_Amount]])*100</f>
        <v>35.208495098514994</v>
      </c>
      <c r="M275" s="4" t="str" cm="1">
        <f t="array" ref="M275">_xlfn.IFS(Table1[[#This Row],[Sales_Amount]]&gt;200000,"High",AND(Table1[[#This Row],[Sales_Amount]]&gt;100000,Table1[[#This Row],[Sales_Amount]]&lt;200000),"Medium",Table1[[#This Row],[Sales_Amount]]&lt;100000,"Low")</f>
        <v>Medium</v>
      </c>
      <c r="N275" t="str">
        <f>TEXT(Table1[[#This Row],[Order_Date]],"MMMM")</f>
        <v>March</v>
      </c>
      <c r="O275">
        <f>YEAR(Table1[[#This Row],[Order_Date]])</f>
        <v>2026</v>
      </c>
    </row>
    <row r="276" spans="1:15" x14ac:dyDescent="0.3">
      <c r="A276" t="s">
        <v>307</v>
      </c>
      <c r="B276" s="1">
        <v>46095</v>
      </c>
      <c r="C276" t="s">
        <v>28</v>
      </c>
      <c r="D276" t="s">
        <v>13</v>
      </c>
      <c r="E276" t="s">
        <v>25</v>
      </c>
      <c r="F276" s="3">
        <v>4</v>
      </c>
      <c r="G276" s="4">
        <v>14860</v>
      </c>
      <c r="H276" s="4">
        <v>59440</v>
      </c>
      <c r="I276" s="4">
        <v>52735.65</v>
      </c>
      <c r="J276" s="4">
        <v>6704.35</v>
      </c>
      <c r="K276" t="s">
        <v>58</v>
      </c>
      <c r="L276" s="3">
        <f>(Table1[[#This Row],[Profit]]/Table1[[#This Row],[Sales_Amount]])*100</f>
        <v>11.279189098250338</v>
      </c>
      <c r="M276" s="4" t="str" cm="1">
        <f t="array" ref="M276">_xlfn.IFS(Table1[[#This Row],[Sales_Amount]]&gt;200000,"High",AND(Table1[[#This Row],[Sales_Amount]]&gt;100000,Table1[[#This Row],[Sales_Amount]]&lt;200000),"Medium",Table1[[#This Row],[Sales_Amount]]&lt;100000,"Low")</f>
        <v>Low</v>
      </c>
      <c r="N276" t="str">
        <f>TEXT(Table1[[#This Row],[Order_Date]],"MMMM")</f>
        <v>March</v>
      </c>
      <c r="O276">
        <f>YEAR(Table1[[#This Row],[Order_Date]])</f>
        <v>2026</v>
      </c>
    </row>
    <row r="277" spans="1:15" x14ac:dyDescent="0.3">
      <c r="A277" t="s">
        <v>308</v>
      </c>
      <c r="B277" s="1">
        <v>46096</v>
      </c>
      <c r="C277" t="s">
        <v>28</v>
      </c>
      <c r="D277" t="s">
        <v>51</v>
      </c>
      <c r="E277" t="s">
        <v>32</v>
      </c>
      <c r="F277" s="3">
        <v>7</v>
      </c>
      <c r="G277" s="4">
        <v>46502</v>
      </c>
      <c r="H277" s="4">
        <v>325514</v>
      </c>
      <c r="I277" s="4">
        <v>248943.46</v>
      </c>
      <c r="J277" s="4">
        <v>76570.539999999994</v>
      </c>
      <c r="K277" t="s">
        <v>23</v>
      </c>
      <c r="L277" s="3">
        <f>(Table1[[#This Row],[Profit]]/Table1[[#This Row],[Sales_Amount]])*100</f>
        <v>23.522963682053611</v>
      </c>
      <c r="M277" s="4" t="str" cm="1">
        <f t="array" ref="M277">_xlfn.IFS(Table1[[#This Row],[Sales_Amount]]&gt;200000,"High",AND(Table1[[#This Row],[Sales_Amount]]&gt;100000,Table1[[#This Row],[Sales_Amount]]&lt;200000),"Medium",Table1[[#This Row],[Sales_Amount]]&lt;100000,"Low")</f>
        <v>High</v>
      </c>
      <c r="N277" t="str">
        <f>TEXT(Table1[[#This Row],[Order_Date]],"MMMM")</f>
        <v>March</v>
      </c>
      <c r="O277">
        <f>YEAR(Table1[[#This Row],[Order_Date]])</f>
        <v>2026</v>
      </c>
    </row>
    <row r="278" spans="1:15" x14ac:dyDescent="0.3">
      <c r="A278" t="s">
        <v>309</v>
      </c>
      <c r="B278" s="1">
        <v>46097</v>
      </c>
      <c r="C278" t="s">
        <v>40</v>
      </c>
      <c r="D278" t="s">
        <v>29</v>
      </c>
      <c r="E278" t="s">
        <v>25</v>
      </c>
      <c r="F278" s="3">
        <v>2</v>
      </c>
      <c r="G278" s="4">
        <v>34939</v>
      </c>
      <c r="H278" s="4">
        <v>69878</v>
      </c>
      <c r="I278" s="4">
        <v>51292.160000000003</v>
      </c>
      <c r="J278" s="4">
        <v>18585.84</v>
      </c>
      <c r="K278" t="s">
        <v>15</v>
      </c>
      <c r="L278" s="3">
        <f>(Table1[[#This Row],[Profit]]/Table1[[#This Row],[Sales_Amount]])*100</f>
        <v>26.597555740004008</v>
      </c>
      <c r="M278" s="4" t="str" cm="1">
        <f t="array" ref="M278">_xlfn.IFS(Table1[[#This Row],[Sales_Amount]]&gt;200000,"High",AND(Table1[[#This Row],[Sales_Amount]]&gt;100000,Table1[[#This Row],[Sales_Amount]]&lt;200000),"Medium",Table1[[#This Row],[Sales_Amount]]&lt;100000,"Low")</f>
        <v>Low</v>
      </c>
      <c r="N278" t="str">
        <f>TEXT(Table1[[#This Row],[Order_Date]],"MMMM")</f>
        <v>March</v>
      </c>
      <c r="O278">
        <f>YEAR(Table1[[#This Row],[Order_Date]])</f>
        <v>2026</v>
      </c>
    </row>
    <row r="279" spans="1:15" x14ac:dyDescent="0.3">
      <c r="A279" t="s">
        <v>310</v>
      </c>
      <c r="B279" s="1">
        <v>46098</v>
      </c>
      <c r="C279" t="s">
        <v>12</v>
      </c>
      <c r="D279" t="s">
        <v>13</v>
      </c>
      <c r="E279" t="s">
        <v>25</v>
      </c>
      <c r="F279" s="3">
        <v>9</v>
      </c>
      <c r="G279" s="4">
        <v>13748</v>
      </c>
      <c r="H279" s="4">
        <v>123732</v>
      </c>
      <c r="I279" s="4">
        <v>95497.66</v>
      </c>
      <c r="J279" s="4">
        <v>28234.34</v>
      </c>
      <c r="K279" t="s">
        <v>26</v>
      </c>
      <c r="L279" s="3">
        <f>(Table1[[#This Row],[Profit]]/Table1[[#This Row],[Sales_Amount]])*100</f>
        <v>22.818947402450458</v>
      </c>
      <c r="M279" s="4" t="str" cm="1">
        <f t="array" ref="M279">_xlfn.IFS(Table1[[#This Row],[Sales_Amount]]&gt;200000,"High",AND(Table1[[#This Row],[Sales_Amount]]&gt;100000,Table1[[#This Row],[Sales_Amount]]&lt;200000),"Medium",Table1[[#This Row],[Sales_Amount]]&lt;100000,"Low")</f>
        <v>Medium</v>
      </c>
      <c r="N279" t="str">
        <f>TEXT(Table1[[#This Row],[Order_Date]],"MMMM")</f>
        <v>March</v>
      </c>
      <c r="O279">
        <f>YEAR(Table1[[#This Row],[Order_Date]])</f>
        <v>2026</v>
      </c>
    </row>
    <row r="280" spans="1:15" x14ac:dyDescent="0.3">
      <c r="A280" t="s">
        <v>311</v>
      </c>
      <c r="B280" s="1">
        <v>46099</v>
      </c>
      <c r="C280" t="s">
        <v>28</v>
      </c>
      <c r="D280" t="s">
        <v>29</v>
      </c>
      <c r="E280" t="s">
        <v>37</v>
      </c>
      <c r="F280" s="3">
        <v>2</v>
      </c>
      <c r="G280" s="4">
        <v>45083</v>
      </c>
      <c r="H280" s="4">
        <v>90166</v>
      </c>
      <c r="I280" s="4">
        <v>59655.67</v>
      </c>
      <c r="J280" s="4">
        <v>30510.33</v>
      </c>
      <c r="K280" t="s">
        <v>58</v>
      </c>
      <c r="L280" s="3">
        <f>(Table1[[#This Row],[Profit]]/Table1[[#This Row],[Sales_Amount]])*100</f>
        <v>33.837954439589204</v>
      </c>
      <c r="M280" s="4" t="str" cm="1">
        <f t="array" ref="M280">_xlfn.IFS(Table1[[#This Row],[Sales_Amount]]&gt;200000,"High",AND(Table1[[#This Row],[Sales_Amount]]&gt;100000,Table1[[#This Row],[Sales_Amount]]&lt;200000),"Medium",Table1[[#This Row],[Sales_Amount]]&lt;100000,"Low")</f>
        <v>Low</v>
      </c>
      <c r="N280" t="str">
        <f>TEXT(Table1[[#This Row],[Order_Date]],"MMMM")</f>
        <v>March</v>
      </c>
      <c r="O280">
        <f>YEAR(Table1[[#This Row],[Order_Date]])</f>
        <v>2026</v>
      </c>
    </row>
    <row r="281" spans="1:15" x14ac:dyDescent="0.3">
      <c r="A281" t="s">
        <v>312</v>
      </c>
      <c r="B281" s="1">
        <v>46100</v>
      </c>
      <c r="C281" t="s">
        <v>17</v>
      </c>
      <c r="D281" t="s">
        <v>56</v>
      </c>
      <c r="E281" t="s">
        <v>37</v>
      </c>
      <c r="F281" s="3">
        <v>3</v>
      </c>
      <c r="G281" s="4">
        <v>34136</v>
      </c>
      <c r="H281" s="4">
        <v>102408</v>
      </c>
      <c r="I281" s="4">
        <v>74207.64</v>
      </c>
      <c r="J281" s="4">
        <v>28200.36</v>
      </c>
      <c r="K281" t="s">
        <v>26</v>
      </c>
      <c r="L281" s="3">
        <f>(Table1[[#This Row],[Profit]]/Table1[[#This Row],[Sales_Amount]])*100</f>
        <v>27.537262713850481</v>
      </c>
      <c r="M281" s="4" t="str" cm="1">
        <f t="array" ref="M281">_xlfn.IFS(Table1[[#This Row],[Sales_Amount]]&gt;200000,"High",AND(Table1[[#This Row],[Sales_Amount]]&gt;100000,Table1[[#This Row],[Sales_Amount]]&lt;200000),"Medium",Table1[[#This Row],[Sales_Amount]]&lt;100000,"Low")</f>
        <v>Medium</v>
      </c>
      <c r="N281" t="str">
        <f>TEXT(Table1[[#This Row],[Order_Date]],"MMMM")</f>
        <v>March</v>
      </c>
      <c r="O281">
        <f>YEAR(Table1[[#This Row],[Order_Date]])</f>
        <v>2026</v>
      </c>
    </row>
    <row r="282" spans="1:15" x14ac:dyDescent="0.3">
      <c r="A282" t="s">
        <v>313</v>
      </c>
      <c r="B282" s="1">
        <v>46101</v>
      </c>
      <c r="C282" t="s">
        <v>17</v>
      </c>
      <c r="D282" t="s">
        <v>18</v>
      </c>
      <c r="E282" t="s">
        <v>37</v>
      </c>
      <c r="F282" s="3">
        <v>5</v>
      </c>
      <c r="G282" s="4">
        <v>697</v>
      </c>
      <c r="H282" s="4">
        <v>3485</v>
      </c>
      <c r="I282" s="4">
        <v>2870.74</v>
      </c>
      <c r="J282" s="4">
        <v>614.26</v>
      </c>
      <c r="K282" t="s">
        <v>58</v>
      </c>
      <c r="L282" s="3">
        <f>(Table1[[#This Row],[Profit]]/Table1[[#This Row],[Sales_Amount]])*100</f>
        <v>17.625824964131994</v>
      </c>
      <c r="M282" s="4" t="str" cm="1">
        <f t="array" ref="M282">_xlfn.IFS(Table1[[#This Row],[Sales_Amount]]&gt;200000,"High",AND(Table1[[#This Row],[Sales_Amount]]&gt;100000,Table1[[#This Row],[Sales_Amount]]&lt;200000),"Medium",Table1[[#This Row],[Sales_Amount]]&lt;100000,"Low")</f>
        <v>Low</v>
      </c>
      <c r="N282" t="str">
        <f>TEXT(Table1[[#This Row],[Order_Date]],"MMMM")</f>
        <v>March</v>
      </c>
      <c r="O282">
        <f>YEAR(Table1[[#This Row],[Order_Date]])</f>
        <v>2026</v>
      </c>
    </row>
    <row r="283" spans="1:15" x14ac:dyDescent="0.3">
      <c r="A283" t="s">
        <v>314</v>
      </c>
      <c r="B283" s="1">
        <v>46102</v>
      </c>
      <c r="C283" t="s">
        <v>17</v>
      </c>
      <c r="D283" t="s">
        <v>56</v>
      </c>
      <c r="E283" t="s">
        <v>19</v>
      </c>
      <c r="F283" s="3">
        <v>2</v>
      </c>
      <c r="G283" s="4">
        <v>35965</v>
      </c>
      <c r="H283" s="4">
        <v>71930</v>
      </c>
      <c r="I283" s="4">
        <v>64610.19</v>
      </c>
      <c r="J283" s="4">
        <v>7319.81</v>
      </c>
      <c r="K283" t="s">
        <v>15</v>
      </c>
      <c r="L283" s="3">
        <f>(Table1[[#This Row],[Profit]]/Table1[[#This Row],[Sales_Amount]])*100</f>
        <v>10.176296399277076</v>
      </c>
      <c r="M283" s="4" t="str" cm="1">
        <f t="array" ref="M283">_xlfn.IFS(Table1[[#This Row],[Sales_Amount]]&gt;200000,"High",AND(Table1[[#This Row],[Sales_Amount]]&gt;100000,Table1[[#This Row],[Sales_Amount]]&lt;200000),"Medium",Table1[[#This Row],[Sales_Amount]]&lt;100000,"Low")</f>
        <v>Low</v>
      </c>
      <c r="N283" t="str">
        <f>TEXT(Table1[[#This Row],[Order_Date]],"MMMM")</f>
        <v>March</v>
      </c>
      <c r="O283">
        <f>YEAR(Table1[[#This Row],[Order_Date]])</f>
        <v>2026</v>
      </c>
    </row>
    <row r="284" spans="1:15" x14ac:dyDescent="0.3">
      <c r="A284" t="s">
        <v>315</v>
      </c>
      <c r="B284" s="1">
        <v>46103</v>
      </c>
      <c r="C284" t="s">
        <v>28</v>
      </c>
      <c r="D284" t="s">
        <v>34</v>
      </c>
      <c r="E284" t="s">
        <v>37</v>
      </c>
      <c r="F284" s="3">
        <v>3</v>
      </c>
      <c r="G284" s="4">
        <v>9375</v>
      </c>
      <c r="H284" s="4">
        <v>28125</v>
      </c>
      <c r="I284" s="4">
        <v>23336.67</v>
      </c>
      <c r="J284" s="4">
        <v>4788.33</v>
      </c>
      <c r="K284" t="s">
        <v>58</v>
      </c>
      <c r="L284" s="3">
        <f>(Table1[[#This Row],[Profit]]/Table1[[#This Row],[Sales_Amount]])*100</f>
        <v>17.025173333333331</v>
      </c>
      <c r="M284" s="4" t="str" cm="1">
        <f t="array" ref="M284">_xlfn.IFS(Table1[[#This Row],[Sales_Amount]]&gt;200000,"High",AND(Table1[[#This Row],[Sales_Amount]]&gt;100000,Table1[[#This Row],[Sales_Amount]]&lt;200000),"Medium",Table1[[#This Row],[Sales_Amount]]&lt;100000,"Low")</f>
        <v>Low</v>
      </c>
      <c r="N284" t="str">
        <f>TEXT(Table1[[#This Row],[Order_Date]],"MMMM")</f>
        <v>March</v>
      </c>
      <c r="O284">
        <f>YEAR(Table1[[#This Row],[Order_Date]])</f>
        <v>2026</v>
      </c>
    </row>
    <row r="285" spans="1:15" x14ac:dyDescent="0.3">
      <c r="A285" t="s">
        <v>316</v>
      </c>
      <c r="B285" s="1">
        <v>46104</v>
      </c>
      <c r="C285" t="s">
        <v>12</v>
      </c>
      <c r="D285" t="s">
        <v>34</v>
      </c>
      <c r="E285" t="s">
        <v>37</v>
      </c>
      <c r="F285" s="3">
        <v>7</v>
      </c>
      <c r="G285" s="4">
        <v>5759</v>
      </c>
      <c r="H285" s="4">
        <v>40313</v>
      </c>
      <c r="I285" s="4">
        <v>32444.67</v>
      </c>
      <c r="J285" s="4">
        <v>7868.33</v>
      </c>
      <c r="K285" t="s">
        <v>15</v>
      </c>
      <c r="L285" s="3">
        <f>(Table1[[#This Row],[Profit]]/Table1[[#This Row],[Sales_Amount]])*100</f>
        <v>19.518095899585742</v>
      </c>
      <c r="M285" s="4" t="str" cm="1">
        <f t="array" ref="M285">_xlfn.IFS(Table1[[#This Row],[Sales_Amount]]&gt;200000,"High",AND(Table1[[#This Row],[Sales_Amount]]&gt;100000,Table1[[#This Row],[Sales_Amount]]&lt;200000),"Medium",Table1[[#This Row],[Sales_Amount]]&lt;100000,"Low")</f>
        <v>Low</v>
      </c>
      <c r="N285" t="str">
        <f>TEXT(Table1[[#This Row],[Order_Date]],"MMMM")</f>
        <v>March</v>
      </c>
      <c r="O285">
        <f>YEAR(Table1[[#This Row],[Order_Date]])</f>
        <v>2026</v>
      </c>
    </row>
    <row r="286" spans="1:15" x14ac:dyDescent="0.3">
      <c r="A286" t="s">
        <v>317</v>
      </c>
      <c r="B286" s="1">
        <v>46105</v>
      </c>
      <c r="C286" t="s">
        <v>12</v>
      </c>
      <c r="D286" t="s">
        <v>18</v>
      </c>
      <c r="E286" t="s">
        <v>25</v>
      </c>
      <c r="F286" s="3">
        <v>7</v>
      </c>
      <c r="G286" s="4">
        <v>35158</v>
      </c>
      <c r="H286" s="4">
        <v>246106</v>
      </c>
      <c r="I286" s="4">
        <v>157065.85999999999</v>
      </c>
      <c r="J286" s="4">
        <v>89040.14</v>
      </c>
      <c r="K286" t="s">
        <v>15</v>
      </c>
      <c r="L286" s="3">
        <f>(Table1[[#This Row],[Profit]]/Table1[[#This Row],[Sales_Amount]])*100</f>
        <v>36.179589282666818</v>
      </c>
      <c r="M286" s="4" t="str" cm="1">
        <f t="array" ref="M286">_xlfn.IFS(Table1[[#This Row],[Sales_Amount]]&gt;200000,"High",AND(Table1[[#This Row],[Sales_Amount]]&gt;100000,Table1[[#This Row],[Sales_Amount]]&lt;200000),"Medium",Table1[[#This Row],[Sales_Amount]]&lt;100000,"Low")</f>
        <v>High</v>
      </c>
      <c r="N286" t="str">
        <f>TEXT(Table1[[#This Row],[Order_Date]],"MMMM")</f>
        <v>March</v>
      </c>
      <c r="O286">
        <f>YEAR(Table1[[#This Row],[Order_Date]])</f>
        <v>2026</v>
      </c>
    </row>
    <row r="287" spans="1:15" x14ac:dyDescent="0.3">
      <c r="A287" t="s">
        <v>318</v>
      </c>
      <c r="B287" s="1">
        <v>46106</v>
      </c>
      <c r="C287" t="s">
        <v>12</v>
      </c>
      <c r="D287" t="s">
        <v>51</v>
      </c>
      <c r="E287" t="s">
        <v>37</v>
      </c>
      <c r="F287" s="3">
        <v>9</v>
      </c>
      <c r="G287" s="4">
        <v>28295</v>
      </c>
      <c r="H287" s="4">
        <v>254655</v>
      </c>
      <c r="I287" s="4">
        <v>193430.87</v>
      </c>
      <c r="J287" s="4">
        <v>61224.13</v>
      </c>
      <c r="K287" t="s">
        <v>58</v>
      </c>
      <c r="L287" s="3">
        <f>(Table1[[#This Row],[Profit]]/Table1[[#This Row],[Sales_Amount]])*100</f>
        <v>24.041990143527517</v>
      </c>
      <c r="M287" s="4" t="str" cm="1">
        <f t="array" ref="M287">_xlfn.IFS(Table1[[#This Row],[Sales_Amount]]&gt;200000,"High",AND(Table1[[#This Row],[Sales_Amount]]&gt;100000,Table1[[#This Row],[Sales_Amount]]&lt;200000),"Medium",Table1[[#This Row],[Sales_Amount]]&lt;100000,"Low")</f>
        <v>High</v>
      </c>
      <c r="N287" t="str">
        <f>TEXT(Table1[[#This Row],[Order_Date]],"MMMM")</f>
        <v>March</v>
      </c>
      <c r="O287">
        <f>YEAR(Table1[[#This Row],[Order_Date]])</f>
        <v>2026</v>
      </c>
    </row>
    <row r="288" spans="1:15" x14ac:dyDescent="0.3">
      <c r="A288" t="s">
        <v>319</v>
      </c>
      <c r="B288" s="1">
        <v>46107</v>
      </c>
      <c r="C288" t="s">
        <v>17</v>
      </c>
      <c r="D288" t="s">
        <v>18</v>
      </c>
      <c r="E288" t="s">
        <v>22</v>
      </c>
      <c r="F288" s="3">
        <v>5</v>
      </c>
      <c r="G288" s="4">
        <v>12852</v>
      </c>
      <c r="H288" s="4">
        <v>64260</v>
      </c>
      <c r="I288" s="4">
        <v>56627.4</v>
      </c>
      <c r="J288" s="4">
        <v>7632.6</v>
      </c>
      <c r="K288" t="s">
        <v>58</v>
      </c>
      <c r="L288" s="3">
        <f>(Table1[[#This Row],[Profit]]/Table1[[#This Row],[Sales_Amount]])*100</f>
        <v>11.877684407096172</v>
      </c>
      <c r="M288" s="4" t="str" cm="1">
        <f t="array" ref="M288">_xlfn.IFS(Table1[[#This Row],[Sales_Amount]]&gt;200000,"High",AND(Table1[[#This Row],[Sales_Amount]]&gt;100000,Table1[[#This Row],[Sales_Amount]]&lt;200000),"Medium",Table1[[#This Row],[Sales_Amount]]&lt;100000,"Low")</f>
        <v>Low</v>
      </c>
      <c r="N288" t="str">
        <f>TEXT(Table1[[#This Row],[Order_Date]],"MMMM")</f>
        <v>March</v>
      </c>
      <c r="O288">
        <f>YEAR(Table1[[#This Row],[Order_Date]])</f>
        <v>2026</v>
      </c>
    </row>
    <row r="289" spans="1:15" x14ac:dyDescent="0.3">
      <c r="A289" t="s">
        <v>320</v>
      </c>
      <c r="B289" s="1">
        <v>46108</v>
      </c>
      <c r="C289" t="s">
        <v>17</v>
      </c>
      <c r="D289" t="s">
        <v>56</v>
      </c>
      <c r="E289" t="s">
        <v>14</v>
      </c>
      <c r="F289" s="3">
        <v>4</v>
      </c>
      <c r="G289" s="4">
        <v>14005</v>
      </c>
      <c r="H289" s="4">
        <v>56020</v>
      </c>
      <c r="I289" s="4">
        <v>34742.89</v>
      </c>
      <c r="J289" s="4">
        <v>21277.11</v>
      </c>
      <c r="K289" t="s">
        <v>15</v>
      </c>
      <c r="L289" s="3">
        <f>(Table1[[#This Row],[Profit]]/Table1[[#This Row],[Sales_Amount]])*100</f>
        <v>37.98127454480543</v>
      </c>
      <c r="M289" s="4" t="str" cm="1">
        <f t="array" ref="M289">_xlfn.IFS(Table1[[#This Row],[Sales_Amount]]&gt;200000,"High",AND(Table1[[#This Row],[Sales_Amount]]&gt;100000,Table1[[#This Row],[Sales_Amount]]&lt;200000),"Medium",Table1[[#This Row],[Sales_Amount]]&lt;100000,"Low")</f>
        <v>Low</v>
      </c>
      <c r="N289" t="str">
        <f>TEXT(Table1[[#This Row],[Order_Date]],"MMMM")</f>
        <v>March</v>
      </c>
      <c r="O289">
        <f>YEAR(Table1[[#This Row],[Order_Date]])</f>
        <v>2026</v>
      </c>
    </row>
    <row r="290" spans="1:15" x14ac:dyDescent="0.3">
      <c r="A290" t="s">
        <v>321</v>
      </c>
      <c r="B290" s="1">
        <v>46109</v>
      </c>
      <c r="C290" t="s">
        <v>12</v>
      </c>
      <c r="D290" t="s">
        <v>18</v>
      </c>
      <c r="E290" t="s">
        <v>19</v>
      </c>
      <c r="F290" s="3">
        <v>1</v>
      </c>
      <c r="G290" s="4">
        <v>26862</v>
      </c>
      <c r="H290" s="4">
        <v>26862</v>
      </c>
      <c r="I290" s="4">
        <v>19654.63</v>
      </c>
      <c r="J290" s="4">
        <v>7207.37</v>
      </c>
      <c r="K290" t="s">
        <v>23</v>
      </c>
      <c r="L290" s="3">
        <f>(Table1[[#This Row],[Profit]]/Table1[[#This Row],[Sales_Amount]])*100</f>
        <v>26.831099694736061</v>
      </c>
      <c r="M290" s="4" t="str" cm="1">
        <f t="array" ref="M290">_xlfn.IFS(Table1[[#This Row],[Sales_Amount]]&gt;200000,"High",AND(Table1[[#This Row],[Sales_Amount]]&gt;100000,Table1[[#This Row],[Sales_Amount]]&lt;200000),"Medium",Table1[[#This Row],[Sales_Amount]]&lt;100000,"Low")</f>
        <v>Low</v>
      </c>
      <c r="N290" t="str">
        <f>TEXT(Table1[[#This Row],[Order_Date]],"MMMM")</f>
        <v>March</v>
      </c>
      <c r="O290">
        <f>YEAR(Table1[[#This Row],[Order_Date]])</f>
        <v>2026</v>
      </c>
    </row>
    <row r="291" spans="1:15" x14ac:dyDescent="0.3">
      <c r="A291" t="s">
        <v>322</v>
      </c>
      <c r="B291" s="1">
        <v>46110</v>
      </c>
      <c r="C291" t="s">
        <v>40</v>
      </c>
      <c r="D291" t="s">
        <v>51</v>
      </c>
      <c r="E291" t="s">
        <v>32</v>
      </c>
      <c r="F291" s="3">
        <v>4</v>
      </c>
      <c r="G291" s="4">
        <v>48440</v>
      </c>
      <c r="H291" s="4">
        <v>193760</v>
      </c>
      <c r="I291" s="4">
        <v>149744.14000000001</v>
      </c>
      <c r="J291" s="4">
        <v>44015.86</v>
      </c>
      <c r="K291" t="s">
        <v>26</v>
      </c>
      <c r="L291" s="3">
        <f>(Table1[[#This Row],[Profit]]/Table1[[#This Row],[Sales_Amount]])*100</f>
        <v>22.716690751445086</v>
      </c>
      <c r="M291" s="4" t="str" cm="1">
        <f t="array" ref="M291">_xlfn.IFS(Table1[[#This Row],[Sales_Amount]]&gt;200000,"High",AND(Table1[[#This Row],[Sales_Amount]]&gt;100000,Table1[[#This Row],[Sales_Amount]]&lt;200000),"Medium",Table1[[#This Row],[Sales_Amount]]&lt;100000,"Low")</f>
        <v>Medium</v>
      </c>
      <c r="N291" t="str">
        <f>TEXT(Table1[[#This Row],[Order_Date]],"MMMM")</f>
        <v>March</v>
      </c>
      <c r="O291">
        <f>YEAR(Table1[[#This Row],[Order_Date]])</f>
        <v>2026</v>
      </c>
    </row>
    <row r="292" spans="1:15" x14ac:dyDescent="0.3">
      <c r="A292" t="s">
        <v>323</v>
      </c>
      <c r="B292" s="1">
        <v>46111</v>
      </c>
      <c r="C292" t="s">
        <v>40</v>
      </c>
      <c r="D292" t="s">
        <v>18</v>
      </c>
      <c r="E292" t="s">
        <v>19</v>
      </c>
      <c r="F292" s="3">
        <v>9</v>
      </c>
      <c r="G292" s="4">
        <v>14986</v>
      </c>
      <c r="H292" s="4">
        <v>134874</v>
      </c>
      <c r="I292" s="4">
        <v>97657.96</v>
      </c>
      <c r="J292" s="4">
        <v>37216.04</v>
      </c>
      <c r="K292" t="s">
        <v>23</v>
      </c>
      <c r="L292" s="3">
        <f>(Table1[[#This Row],[Profit]]/Table1[[#This Row],[Sales_Amount]])*100</f>
        <v>27.593190681673267</v>
      </c>
      <c r="M292" s="4" t="str" cm="1">
        <f t="array" ref="M292">_xlfn.IFS(Table1[[#This Row],[Sales_Amount]]&gt;200000,"High",AND(Table1[[#This Row],[Sales_Amount]]&gt;100000,Table1[[#This Row],[Sales_Amount]]&lt;200000),"Medium",Table1[[#This Row],[Sales_Amount]]&lt;100000,"Low")</f>
        <v>Medium</v>
      </c>
      <c r="N292" t="str">
        <f>TEXT(Table1[[#This Row],[Order_Date]],"MMMM")</f>
        <v>March</v>
      </c>
      <c r="O292">
        <f>YEAR(Table1[[#This Row],[Order_Date]])</f>
        <v>2026</v>
      </c>
    </row>
    <row r="293" spans="1:15" x14ac:dyDescent="0.3">
      <c r="A293" t="s">
        <v>324</v>
      </c>
      <c r="B293" s="1">
        <v>46112</v>
      </c>
      <c r="C293" t="s">
        <v>40</v>
      </c>
      <c r="D293" t="s">
        <v>21</v>
      </c>
      <c r="E293" t="s">
        <v>19</v>
      </c>
      <c r="F293" s="3">
        <v>7</v>
      </c>
      <c r="G293" s="4">
        <v>36928</v>
      </c>
      <c r="H293" s="4">
        <v>258496</v>
      </c>
      <c r="I293" s="4">
        <v>193532.4</v>
      </c>
      <c r="J293" s="4">
        <v>64963.6</v>
      </c>
      <c r="K293" t="s">
        <v>26</v>
      </c>
      <c r="L293" s="3">
        <f>(Table1[[#This Row],[Profit]]/Table1[[#This Row],[Sales_Amount]])*100</f>
        <v>25.1313753404308</v>
      </c>
      <c r="M293" s="4" t="str" cm="1">
        <f t="array" ref="M293">_xlfn.IFS(Table1[[#This Row],[Sales_Amount]]&gt;200000,"High",AND(Table1[[#This Row],[Sales_Amount]]&gt;100000,Table1[[#This Row],[Sales_Amount]]&lt;200000),"Medium",Table1[[#This Row],[Sales_Amount]]&lt;100000,"Low")</f>
        <v>High</v>
      </c>
      <c r="N293" t="str">
        <f>TEXT(Table1[[#This Row],[Order_Date]],"MMMM")</f>
        <v>March</v>
      </c>
      <c r="O293">
        <f>YEAR(Table1[[#This Row],[Order_Date]])</f>
        <v>2026</v>
      </c>
    </row>
    <row r="294" spans="1:15" x14ac:dyDescent="0.3">
      <c r="A294" t="s">
        <v>325</v>
      </c>
      <c r="B294" s="1">
        <v>46113</v>
      </c>
      <c r="C294" t="s">
        <v>12</v>
      </c>
      <c r="D294" t="s">
        <v>56</v>
      </c>
      <c r="E294" t="s">
        <v>37</v>
      </c>
      <c r="F294" s="3">
        <v>7</v>
      </c>
      <c r="G294" s="4">
        <v>10279</v>
      </c>
      <c r="H294" s="4">
        <v>71953</v>
      </c>
      <c r="I294" s="4">
        <v>49645.16</v>
      </c>
      <c r="J294" s="4">
        <v>22307.84</v>
      </c>
      <c r="K294" t="s">
        <v>23</v>
      </c>
      <c r="L294" s="3">
        <f>(Table1[[#This Row],[Profit]]/Table1[[#This Row],[Sales_Amount]])*100</f>
        <v>31.00334940864175</v>
      </c>
      <c r="M294" s="4" t="str" cm="1">
        <f t="array" ref="M294">_xlfn.IFS(Table1[[#This Row],[Sales_Amount]]&gt;200000,"High",AND(Table1[[#This Row],[Sales_Amount]]&gt;100000,Table1[[#This Row],[Sales_Amount]]&lt;200000),"Medium",Table1[[#This Row],[Sales_Amount]]&lt;100000,"Low")</f>
        <v>Low</v>
      </c>
      <c r="N294" t="str">
        <f>TEXT(Table1[[#This Row],[Order_Date]],"MMMM")</f>
        <v>April</v>
      </c>
      <c r="O294">
        <f>YEAR(Table1[[#This Row],[Order_Date]])</f>
        <v>2026</v>
      </c>
    </row>
    <row r="295" spans="1:15" x14ac:dyDescent="0.3">
      <c r="A295" t="s">
        <v>326</v>
      </c>
      <c r="B295" s="1">
        <v>46114</v>
      </c>
      <c r="C295" t="s">
        <v>28</v>
      </c>
      <c r="D295" t="s">
        <v>21</v>
      </c>
      <c r="E295" t="s">
        <v>32</v>
      </c>
      <c r="F295" s="3">
        <v>3</v>
      </c>
      <c r="G295" s="4">
        <v>30844</v>
      </c>
      <c r="H295" s="4">
        <v>92532</v>
      </c>
      <c r="I295" s="4">
        <v>80912.05</v>
      </c>
      <c r="J295" s="4">
        <v>11619.95</v>
      </c>
      <c r="K295" t="s">
        <v>23</v>
      </c>
      <c r="L295" s="3">
        <f>(Table1[[#This Row],[Profit]]/Table1[[#This Row],[Sales_Amount]])*100</f>
        <v>12.557763800631133</v>
      </c>
      <c r="M295" s="4" t="str" cm="1">
        <f t="array" ref="M295">_xlfn.IFS(Table1[[#This Row],[Sales_Amount]]&gt;200000,"High",AND(Table1[[#This Row],[Sales_Amount]]&gt;100000,Table1[[#This Row],[Sales_Amount]]&lt;200000),"Medium",Table1[[#This Row],[Sales_Amount]]&lt;100000,"Low")</f>
        <v>Low</v>
      </c>
      <c r="N295" t="str">
        <f>TEXT(Table1[[#This Row],[Order_Date]],"MMMM")</f>
        <v>April</v>
      </c>
      <c r="O295">
        <f>YEAR(Table1[[#This Row],[Order_Date]])</f>
        <v>2026</v>
      </c>
    </row>
    <row r="296" spans="1:15" x14ac:dyDescent="0.3">
      <c r="A296" t="s">
        <v>327</v>
      </c>
      <c r="B296" s="1">
        <v>46115</v>
      </c>
      <c r="C296" t="s">
        <v>17</v>
      </c>
      <c r="D296" t="s">
        <v>56</v>
      </c>
      <c r="E296" t="s">
        <v>22</v>
      </c>
      <c r="F296" s="3">
        <v>5</v>
      </c>
      <c r="G296" s="4">
        <v>13825</v>
      </c>
      <c r="H296" s="4">
        <v>69125</v>
      </c>
      <c r="I296" s="4">
        <v>48323.83</v>
      </c>
      <c r="J296" s="4">
        <v>20801.169999999998</v>
      </c>
      <c r="K296" t="s">
        <v>26</v>
      </c>
      <c r="L296" s="3">
        <f>(Table1[[#This Row],[Profit]]/Table1[[#This Row],[Sales_Amount]])*100</f>
        <v>30.092108499095836</v>
      </c>
      <c r="M296" s="4" t="str" cm="1">
        <f t="array" ref="M296">_xlfn.IFS(Table1[[#This Row],[Sales_Amount]]&gt;200000,"High",AND(Table1[[#This Row],[Sales_Amount]]&gt;100000,Table1[[#This Row],[Sales_Amount]]&lt;200000),"Medium",Table1[[#This Row],[Sales_Amount]]&lt;100000,"Low")</f>
        <v>Low</v>
      </c>
      <c r="N296" t="str">
        <f>TEXT(Table1[[#This Row],[Order_Date]],"MMMM")</f>
        <v>April</v>
      </c>
      <c r="O296">
        <f>YEAR(Table1[[#This Row],[Order_Date]])</f>
        <v>2026</v>
      </c>
    </row>
    <row r="297" spans="1:15" x14ac:dyDescent="0.3">
      <c r="A297" t="s">
        <v>328</v>
      </c>
      <c r="B297" s="1">
        <v>46116</v>
      </c>
      <c r="C297" t="s">
        <v>17</v>
      </c>
      <c r="D297" t="s">
        <v>29</v>
      </c>
      <c r="E297" t="s">
        <v>25</v>
      </c>
      <c r="F297" s="3">
        <v>4</v>
      </c>
      <c r="G297" s="4">
        <v>3877</v>
      </c>
      <c r="H297" s="4">
        <v>15508</v>
      </c>
      <c r="I297" s="4">
        <v>10553.79</v>
      </c>
      <c r="J297" s="4">
        <v>4954.21</v>
      </c>
      <c r="K297" t="s">
        <v>23</v>
      </c>
      <c r="L297" s="3">
        <f>(Table1[[#This Row],[Profit]]/Table1[[#This Row],[Sales_Amount]])*100</f>
        <v>31.946156822285271</v>
      </c>
      <c r="M297" s="4" t="str" cm="1">
        <f t="array" ref="M297">_xlfn.IFS(Table1[[#This Row],[Sales_Amount]]&gt;200000,"High",AND(Table1[[#This Row],[Sales_Amount]]&gt;100000,Table1[[#This Row],[Sales_Amount]]&lt;200000),"Medium",Table1[[#This Row],[Sales_Amount]]&lt;100000,"Low")</f>
        <v>Low</v>
      </c>
      <c r="N297" t="str">
        <f>TEXT(Table1[[#This Row],[Order_Date]],"MMMM")</f>
        <v>April</v>
      </c>
      <c r="O297">
        <f>YEAR(Table1[[#This Row],[Order_Date]])</f>
        <v>2026</v>
      </c>
    </row>
    <row r="298" spans="1:15" x14ac:dyDescent="0.3">
      <c r="A298" t="s">
        <v>329</v>
      </c>
      <c r="B298" s="1">
        <v>46117</v>
      </c>
      <c r="C298" t="s">
        <v>40</v>
      </c>
      <c r="D298" t="s">
        <v>44</v>
      </c>
      <c r="E298" t="s">
        <v>19</v>
      </c>
      <c r="F298" s="3">
        <v>9</v>
      </c>
      <c r="G298" s="4">
        <v>14722</v>
      </c>
      <c r="H298" s="4">
        <v>132498</v>
      </c>
      <c r="I298" s="4">
        <v>98554.43</v>
      </c>
      <c r="J298" s="4">
        <v>33943.57</v>
      </c>
      <c r="K298" t="s">
        <v>15</v>
      </c>
      <c r="L298" s="3">
        <f>(Table1[[#This Row],[Profit]]/Table1[[#This Row],[Sales_Amount]])*100</f>
        <v>25.61817536868481</v>
      </c>
      <c r="M298" s="4" t="str" cm="1">
        <f t="array" ref="M298">_xlfn.IFS(Table1[[#This Row],[Sales_Amount]]&gt;200000,"High",AND(Table1[[#This Row],[Sales_Amount]]&gt;100000,Table1[[#This Row],[Sales_Amount]]&lt;200000),"Medium",Table1[[#This Row],[Sales_Amount]]&lt;100000,"Low")</f>
        <v>Medium</v>
      </c>
      <c r="N298" t="str">
        <f>TEXT(Table1[[#This Row],[Order_Date]],"MMMM")</f>
        <v>April</v>
      </c>
      <c r="O298">
        <f>YEAR(Table1[[#This Row],[Order_Date]])</f>
        <v>2026</v>
      </c>
    </row>
    <row r="299" spans="1:15" x14ac:dyDescent="0.3">
      <c r="A299" t="s">
        <v>330</v>
      </c>
      <c r="B299" s="1">
        <v>46118</v>
      </c>
      <c r="C299" t="s">
        <v>28</v>
      </c>
      <c r="D299" t="s">
        <v>51</v>
      </c>
      <c r="E299" t="s">
        <v>22</v>
      </c>
      <c r="F299" s="3">
        <v>2</v>
      </c>
      <c r="G299" s="4">
        <v>49447</v>
      </c>
      <c r="H299" s="4">
        <v>98894</v>
      </c>
      <c r="I299" s="4">
        <v>88991.9</v>
      </c>
      <c r="J299" s="4">
        <v>9902.1</v>
      </c>
      <c r="K299" t="s">
        <v>23</v>
      </c>
      <c r="L299" s="3">
        <f>(Table1[[#This Row],[Profit]]/Table1[[#This Row],[Sales_Amount]])*100</f>
        <v>10.012842032883693</v>
      </c>
      <c r="M299" s="4" t="str" cm="1">
        <f t="array" ref="M299">_xlfn.IFS(Table1[[#This Row],[Sales_Amount]]&gt;200000,"High",AND(Table1[[#This Row],[Sales_Amount]]&gt;100000,Table1[[#This Row],[Sales_Amount]]&lt;200000),"Medium",Table1[[#This Row],[Sales_Amount]]&lt;100000,"Low")</f>
        <v>Low</v>
      </c>
      <c r="N299" t="str">
        <f>TEXT(Table1[[#This Row],[Order_Date]],"MMMM")</f>
        <v>April</v>
      </c>
      <c r="O299">
        <f>YEAR(Table1[[#This Row],[Order_Date]])</f>
        <v>2026</v>
      </c>
    </row>
    <row r="300" spans="1:15" x14ac:dyDescent="0.3">
      <c r="A300" t="s">
        <v>331</v>
      </c>
      <c r="B300" s="1">
        <v>46119</v>
      </c>
      <c r="C300" t="s">
        <v>28</v>
      </c>
      <c r="D300" t="s">
        <v>56</v>
      </c>
      <c r="E300" t="s">
        <v>22</v>
      </c>
      <c r="F300" s="3">
        <v>9</v>
      </c>
      <c r="G300" s="4">
        <v>21577</v>
      </c>
      <c r="H300" s="4">
        <v>194193</v>
      </c>
      <c r="I300" s="4">
        <v>161695.60999999999</v>
      </c>
      <c r="J300" s="4">
        <v>32497.39</v>
      </c>
      <c r="K300" t="s">
        <v>26</v>
      </c>
      <c r="L300" s="3">
        <f>(Table1[[#This Row],[Profit]]/Table1[[#This Row],[Sales_Amount]])*100</f>
        <v>16.734583635867409</v>
      </c>
      <c r="M300" s="4" t="str" cm="1">
        <f t="array" ref="M300">_xlfn.IFS(Table1[[#This Row],[Sales_Amount]]&gt;200000,"High",AND(Table1[[#This Row],[Sales_Amount]]&gt;100000,Table1[[#This Row],[Sales_Amount]]&lt;200000),"Medium",Table1[[#This Row],[Sales_Amount]]&lt;100000,"Low")</f>
        <v>Medium</v>
      </c>
      <c r="N300" t="str">
        <f>TEXT(Table1[[#This Row],[Order_Date]],"MMMM")</f>
        <v>April</v>
      </c>
      <c r="O300">
        <f>YEAR(Table1[[#This Row],[Order_Date]])</f>
        <v>2026</v>
      </c>
    </row>
    <row r="301" spans="1:15" x14ac:dyDescent="0.3">
      <c r="A301" t="s">
        <v>332</v>
      </c>
      <c r="B301" s="1">
        <v>46120</v>
      </c>
      <c r="C301" t="s">
        <v>28</v>
      </c>
      <c r="D301" t="s">
        <v>29</v>
      </c>
      <c r="E301" t="s">
        <v>32</v>
      </c>
      <c r="F301" s="3">
        <v>6</v>
      </c>
      <c r="G301" s="4">
        <v>34107</v>
      </c>
      <c r="H301" s="4">
        <v>204642</v>
      </c>
      <c r="I301" s="4">
        <v>176983.32</v>
      </c>
      <c r="J301" s="4">
        <v>27658.68</v>
      </c>
      <c r="K301" t="s">
        <v>58</v>
      </c>
      <c r="L301" s="3">
        <f>(Table1[[#This Row],[Profit]]/Table1[[#This Row],[Sales_Amount]])*100</f>
        <v>13.515641950332776</v>
      </c>
      <c r="M301" s="4" t="str" cm="1">
        <f t="array" ref="M301">_xlfn.IFS(Table1[[#This Row],[Sales_Amount]]&gt;200000,"High",AND(Table1[[#This Row],[Sales_Amount]]&gt;100000,Table1[[#This Row],[Sales_Amount]]&lt;200000),"Medium",Table1[[#This Row],[Sales_Amount]]&lt;100000,"Low")</f>
        <v>High</v>
      </c>
      <c r="N301" t="str">
        <f>TEXT(Table1[[#This Row],[Order_Date]],"MMMM")</f>
        <v>April</v>
      </c>
      <c r="O301">
        <f>YEAR(Table1[[#This Row],[Order_Date]])</f>
        <v>2026</v>
      </c>
    </row>
    <row r="302" spans="1:15" x14ac:dyDescent="0.3">
      <c r="A302" t="s">
        <v>333</v>
      </c>
      <c r="B302" s="1">
        <v>46121</v>
      </c>
      <c r="C302" t="s">
        <v>12</v>
      </c>
      <c r="D302" t="s">
        <v>13</v>
      </c>
      <c r="E302" t="s">
        <v>22</v>
      </c>
      <c r="F302" s="3">
        <v>6</v>
      </c>
      <c r="G302" s="4">
        <v>21007</v>
      </c>
      <c r="H302" s="4">
        <v>126042</v>
      </c>
      <c r="I302" s="4">
        <v>91276.98</v>
      </c>
      <c r="J302" s="4">
        <v>34765.019999999997</v>
      </c>
      <c r="K302" t="s">
        <v>15</v>
      </c>
      <c r="L302" s="3">
        <f>(Table1[[#This Row],[Profit]]/Table1[[#This Row],[Sales_Amount]])*100</f>
        <v>27.582091683724467</v>
      </c>
      <c r="M302" s="4" t="str" cm="1">
        <f t="array" ref="M302">_xlfn.IFS(Table1[[#This Row],[Sales_Amount]]&gt;200000,"High",AND(Table1[[#This Row],[Sales_Amount]]&gt;100000,Table1[[#This Row],[Sales_Amount]]&lt;200000),"Medium",Table1[[#This Row],[Sales_Amount]]&lt;100000,"Low")</f>
        <v>Medium</v>
      </c>
      <c r="N302" t="str">
        <f>TEXT(Table1[[#This Row],[Order_Date]],"MMMM")</f>
        <v>April</v>
      </c>
      <c r="O302">
        <f>YEAR(Table1[[#This Row],[Order_Date]])</f>
        <v>2026</v>
      </c>
    </row>
    <row r="303" spans="1:15" x14ac:dyDescent="0.3">
      <c r="A303" t="s">
        <v>334</v>
      </c>
      <c r="B303" s="1">
        <v>46122</v>
      </c>
      <c r="C303" t="s">
        <v>40</v>
      </c>
      <c r="D303" t="s">
        <v>13</v>
      </c>
      <c r="E303" t="s">
        <v>25</v>
      </c>
      <c r="F303" s="3">
        <v>10</v>
      </c>
      <c r="G303" s="4">
        <v>38454</v>
      </c>
      <c r="H303" s="4">
        <v>384540</v>
      </c>
      <c r="I303" s="4">
        <v>313786.02</v>
      </c>
      <c r="J303" s="4">
        <v>70753.98</v>
      </c>
      <c r="K303" t="s">
        <v>23</v>
      </c>
      <c r="L303" s="3">
        <f>(Table1[[#This Row],[Profit]]/Table1[[#This Row],[Sales_Amount]])*100</f>
        <v>18.399641129661411</v>
      </c>
      <c r="M303" s="4" t="str" cm="1">
        <f t="array" ref="M303">_xlfn.IFS(Table1[[#This Row],[Sales_Amount]]&gt;200000,"High",AND(Table1[[#This Row],[Sales_Amount]]&gt;100000,Table1[[#This Row],[Sales_Amount]]&lt;200000),"Medium",Table1[[#This Row],[Sales_Amount]]&lt;100000,"Low")</f>
        <v>High</v>
      </c>
      <c r="N303" t="str">
        <f>TEXT(Table1[[#This Row],[Order_Date]],"MMMM")</f>
        <v>April</v>
      </c>
      <c r="O303">
        <f>YEAR(Table1[[#This Row],[Order_Date]])</f>
        <v>2026</v>
      </c>
    </row>
    <row r="304" spans="1:15" x14ac:dyDescent="0.3">
      <c r="A304" t="s">
        <v>335</v>
      </c>
      <c r="B304" s="1">
        <v>46123</v>
      </c>
      <c r="C304" t="s">
        <v>28</v>
      </c>
      <c r="D304" t="s">
        <v>34</v>
      </c>
      <c r="E304" t="s">
        <v>22</v>
      </c>
      <c r="F304" s="3">
        <v>7</v>
      </c>
      <c r="G304" s="4">
        <v>37841</v>
      </c>
      <c r="H304" s="4">
        <v>264887</v>
      </c>
      <c r="I304" s="4">
        <v>225156.28</v>
      </c>
      <c r="J304" s="4">
        <v>39730.720000000001</v>
      </c>
      <c r="K304" t="s">
        <v>26</v>
      </c>
      <c r="L304" s="3">
        <f>(Table1[[#This Row],[Profit]]/Table1[[#This Row],[Sales_Amount]])*100</f>
        <v>14.999120379633579</v>
      </c>
      <c r="M304" s="4" t="str" cm="1">
        <f t="array" ref="M304">_xlfn.IFS(Table1[[#This Row],[Sales_Amount]]&gt;200000,"High",AND(Table1[[#This Row],[Sales_Amount]]&gt;100000,Table1[[#This Row],[Sales_Amount]]&lt;200000),"Medium",Table1[[#This Row],[Sales_Amount]]&lt;100000,"Low")</f>
        <v>High</v>
      </c>
      <c r="N304" t="str">
        <f>TEXT(Table1[[#This Row],[Order_Date]],"MMMM")</f>
        <v>April</v>
      </c>
      <c r="O304">
        <f>YEAR(Table1[[#This Row],[Order_Date]])</f>
        <v>2026</v>
      </c>
    </row>
    <row r="305" spans="1:15" x14ac:dyDescent="0.3">
      <c r="A305" t="s">
        <v>336</v>
      </c>
      <c r="B305" s="1">
        <v>46124</v>
      </c>
      <c r="C305" t="s">
        <v>40</v>
      </c>
      <c r="D305" t="s">
        <v>13</v>
      </c>
      <c r="E305" t="s">
        <v>19</v>
      </c>
      <c r="F305" s="3">
        <v>8</v>
      </c>
      <c r="G305" s="4">
        <v>30700</v>
      </c>
      <c r="H305" s="4">
        <v>245600</v>
      </c>
      <c r="I305" s="4">
        <v>159755.46</v>
      </c>
      <c r="J305" s="4">
        <v>85844.54</v>
      </c>
      <c r="K305" t="s">
        <v>23</v>
      </c>
      <c r="L305" s="3">
        <f>(Table1[[#This Row],[Profit]]/Table1[[#This Row],[Sales_Amount]])*100</f>
        <v>34.952988599348537</v>
      </c>
      <c r="M305" s="4" t="str" cm="1">
        <f t="array" ref="M305">_xlfn.IFS(Table1[[#This Row],[Sales_Amount]]&gt;200000,"High",AND(Table1[[#This Row],[Sales_Amount]]&gt;100000,Table1[[#This Row],[Sales_Amount]]&lt;200000),"Medium",Table1[[#This Row],[Sales_Amount]]&lt;100000,"Low")</f>
        <v>High</v>
      </c>
      <c r="N305" t="str">
        <f>TEXT(Table1[[#This Row],[Order_Date]],"MMMM")</f>
        <v>April</v>
      </c>
      <c r="O305">
        <f>YEAR(Table1[[#This Row],[Order_Date]])</f>
        <v>2026</v>
      </c>
    </row>
    <row r="306" spans="1:15" x14ac:dyDescent="0.3">
      <c r="A306" t="s">
        <v>337</v>
      </c>
      <c r="B306" s="1">
        <v>46125</v>
      </c>
      <c r="C306" t="s">
        <v>17</v>
      </c>
      <c r="D306" t="s">
        <v>18</v>
      </c>
      <c r="E306" t="s">
        <v>37</v>
      </c>
      <c r="F306" s="3">
        <v>3</v>
      </c>
      <c r="G306" s="4">
        <v>36029</v>
      </c>
      <c r="H306" s="4">
        <v>108087</v>
      </c>
      <c r="I306" s="4">
        <v>96964.53</v>
      </c>
      <c r="J306" s="4">
        <v>11122.47</v>
      </c>
      <c r="K306" t="s">
        <v>15</v>
      </c>
      <c r="L306" s="3">
        <f>(Table1[[#This Row],[Profit]]/Table1[[#This Row],[Sales_Amount]])*100</f>
        <v>10.29029392988981</v>
      </c>
      <c r="M306" s="4" t="str" cm="1">
        <f t="array" ref="M306">_xlfn.IFS(Table1[[#This Row],[Sales_Amount]]&gt;200000,"High",AND(Table1[[#This Row],[Sales_Amount]]&gt;100000,Table1[[#This Row],[Sales_Amount]]&lt;200000),"Medium",Table1[[#This Row],[Sales_Amount]]&lt;100000,"Low")</f>
        <v>Medium</v>
      </c>
      <c r="N306" t="str">
        <f>TEXT(Table1[[#This Row],[Order_Date]],"MMMM")</f>
        <v>April</v>
      </c>
      <c r="O306">
        <f>YEAR(Table1[[#This Row],[Order_Date]])</f>
        <v>2026</v>
      </c>
    </row>
    <row r="307" spans="1:15" x14ac:dyDescent="0.3">
      <c r="A307" t="s">
        <v>338</v>
      </c>
      <c r="B307" s="1">
        <v>46126</v>
      </c>
      <c r="C307" t="s">
        <v>12</v>
      </c>
      <c r="D307" t="s">
        <v>29</v>
      </c>
      <c r="E307" t="s">
        <v>14</v>
      </c>
      <c r="F307" s="3">
        <v>1</v>
      </c>
      <c r="G307" s="4">
        <v>27526</v>
      </c>
      <c r="H307" s="4">
        <v>27526</v>
      </c>
      <c r="I307" s="4">
        <v>17650.98</v>
      </c>
      <c r="J307" s="4">
        <v>9875.02</v>
      </c>
      <c r="K307" t="s">
        <v>23</v>
      </c>
      <c r="L307" s="3">
        <f>(Table1[[#This Row],[Profit]]/Table1[[#This Row],[Sales_Amount]])*100</f>
        <v>35.875245222698545</v>
      </c>
      <c r="M307" s="4" t="str" cm="1">
        <f t="array" ref="M307">_xlfn.IFS(Table1[[#This Row],[Sales_Amount]]&gt;200000,"High",AND(Table1[[#This Row],[Sales_Amount]]&gt;100000,Table1[[#This Row],[Sales_Amount]]&lt;200000),"Medium",Table1[[#This Row],[Sales_Amount]]&lt;100000,"Low")</f>
        <v>Low</v>
      </c>
      <c r="N307" t="str">
        <f>TEXT(Table1[[#This Row],[Order_Date]],"MMMM")</f>
        <v>April</v>
      </c>
      <c r="O307">
        <f>YEAR(Table1[[#This Row],[Order_Date]])</f>
        <v>2026</v>
      </c>
    </row>
    <row r="308" spans="1:15" x14ac:dyDescent="0.3">
      <c r="A308" t="s">
        <v>339</v>
      </c>
      <c r="B308" s="1">
        <v>46127</v>
      </c>
      <c r="C308" t="s">
        <v>28</v>
      </c>
      <c r="D308" t="s">
        <v>56</v>
      </c>
      <c r="E308" t="s">
        <v>22</v>
      </c>
      <c r="F308" s="3">
        <v>9</v>
      </c>
      <c r="G308" s="4">
        <v>30385</v>
      </c>
      <c r="H308" s="4">
        <v>273465</v>
      </c>
      <c r="I308" s="4">
        <v>194696.2</v>
      </c>
      <c r="J308" s="4">
        <v>78768.800000000003</v>
      </c>
      <c r="K308" t="s">
        <v>15</v>
      </c>
      <c r="L308" s="3">
        <f>(Table1[[#This Row],[Profit]]/Table1[[#This Row],[Sales_Amount]])*100</f>
        <v>28.803978571297971</v>
      </c>
      <c r="M308" s="4" t="str" cm="1">
        <f t="array" ref="M308">_xlfn.IFS(Table1[[#This Row],[Sales_Amount]]&gt;200000,"High",AND(Table1[[#This Row],[Sales_Amount]]&gt;100000,Table1[[#This Row],[Sales_Amount]]&lt;200000),"Medium",Table1[[#This Row],[Sales_Amount]]&lt;100000,"Low")</f>
        <v>High</v>
      </c>
      <c r="N308" t="str">
        <f>TEXT(Table1[[#This Row],[Order_Date]],"MMMM")</f>
        <v>April</v>
      </c>
      <c r="O308">
        <f>YEAR(Table1[[#This Row],[Order_Date]])</f>
        <v>2026</v>
      </c>
    </row>
    <row r="309" spans="1:15" x14ac:dyDescent="0.3">
      <c r="A309" t="s">
        <v>340</v>
      </c>
      <c r="B309" s="1">
        <v>46128</v>
      </c>
      <c r="C309" t="s">
        <v>40</v>
      </c>
      <c r="D309" t="s">
        <v>44</v>
      </c>
      <c r="E309" t="s">
        <v>25</v>
      </c>
      <c r="F309" s="3">
        <v>9</v>
      </c>
      <c r="G309" s="4">
        <v>27457</v>
      </c>
      <c r="H309" s="4">
        <v>247113</v>
      </c>
      <c r="I309" s="4">
        <v>149146.35999999999</v>
      </c>
      <c r="J309" s="4">
        <v>97966.64</v>
      </c>
      <c r="K309" t="s">
        <v>15</v>
      </c>
      <c r="L309" s="3">
        <f>(Table1[[#This Row],[Profit]]/Table1[[#This Row],[Sales_Amount]])*100</f>
        <v>39.644470343527047</v>
      </c>
      <c r="M309" s="4" t="str" cm="1">
        <f t="array" ref="M309">_xlfn.IFS(Table1[[#This Row],[Sales_Amount]]&gt;200000,"High",AND(Table1[[#This Row],[Sales_Amount]]&gt;100000,Table1[[#This Row],[Sales_Amount]]&lt;200000),"Medium",Table1[[#This Row],[Sales_Amount]]&lt;100000,"Low")</f>
        <v>High</v>
      </c>
      <c r="N309" t="str">
        <f>TEXT(Table1[[#This Row],[Order_Date]],"MMMM")</f>
        <v>April</v>
      </c>
      <c r="O309">
        <f>YEAR(Table1[[#This Row],[Order_Date]])</f>
        <v>2026</v>
      </c>
    </row>
    <row r="310" spans="1:15" x14ac:dyDescent="0.3">
      <c r="A310" t="s">
        <v>341</v>
      </c>
      <c r="B310" s="1">
        <v>46129</v>
      </c>
      <c r="C310" t="s">
        <v>17</v>
      </c>
      <c r="D310" t="s">
        <v>13</v>
      </c>
      <c r="E310" t="s">
        <v>19</v>
      </c>
      <c r="F310" s="3">
        <v>7</v>
      </c>
      <c r="G310" s="4">
        <v>12248</v>
      </c>
      <c r="H310" s="4">
        <v>85736</v>
      </c>
      <c r="I310" s="4">
        <v>54194.15</v>
      </c>
      <c r="J310" s="4">
        <v>31541.85</v>
      </c>
      <c r="K310" t="s">
        <v>23</v>
      </c>
      <c r="L310" s="3">
        <f>(Table1[[#This Row],[Profit]]/Table1[[#This Row],[Sales_Amount]])*100</f>
        <v>36.789504992068672</v>
      </c>
      <c r="M310" s="4" t="str" cm="1">
        <f t="array" ref="M310">_xlfn.IFS(Table1[[#This Row],[Sales_Amount]]&gt;200000,"High",AND(Table1[[#This Row],[Sales_Amount]]&gt;100000,Table1[[#This Row],[Sales_Amount]]&lt;200000),"Medium",Table1[[#This Row],[Sales_Amount]]&lt;100000,"Low")</f>
        <v>Low</v>
      </c>
      <c r="N310" t="str">
        <f>TEXT(Table1[[#This Row],[Order_Date]],"MMMM")</f>
        <v>April</v>
      </c>
      <c r="O310">
        <f>YEAR(Table1[[#This Row],[Order_Date]])</f>
        <v>2026</v>
      </c>
    </row>
    <row r="311" spans="1:15" x14ac:dyDescent="0.3">
      <c r="A311" t="s">
        <v>342</v>
      </c>
      <c r="B311" s="1">
        <v>46130</v>
      </c>
      <c r="C311" t="s">
        <v>40</v>
      </c>
      <c r="D311" t="s">
        <v>21</v>
      </c>
      <c r="E311" t="s">
        <v>25</v>
      </c>
      <c r="F311" s="3">
        <v>9</v>
      </c>
      <c r="G311" s="4">
        <v>17042</v>
      </c>
      <c r="H311" s="4">
        <v>153378</v>
      </c>
      <c r="I311" s="4">
        <v>129537.59</v>
      </c>
      <c r="J311" s="4">
        <v>23840.41</v>
      </c>
      <c r="K311" t="s">
        <v>15</v>
      </c>
      <c r="L311" s="3">
        <f>(Table1[[#This Row],[Profit]]/Table1[[#This Row],[Sales_Amount]])*100</f>
        <v>15.5435655700296</v>
      </c>
      <c r="M311" s="4" t="str" cm="1">
        <f t="array" ref="M311">_xlfn.IFS(Table1[[#This Row],[Sales_Amount]]&gt;200000,"High",AND(Table1[[#This Row],[Sales_Amount]]&gt;100000,Table1[[#This Row],[Sales_Amount]]&lt;200000),"Medium",Table1[[#This Row],[Sales_Amount]]&lt;100000,"Low")</f>
        <v>Medium</v>
      </c>
      <c r="N311" t="str">
        <f>TEXT(Table1[[#This Row],[Order_Date]],"MMMM")</f>
        <v>April</v>
      </c>
      <c r="O311">
        <f>YEAR(Table1[[#This Row],[Order_Date]])</f>
        <v>2026</v>
      </c>
    </row>
    <row r="312" spans="1:15" x14ac:dyDescent="0.3">
      <c r="A312" t="s">
        <v>343</v>
      </c>
      <c r="B312" s="1">
        <v>46131</v>
      </c>
      <c r="C312" t="s">
        <v>12</v>
      </c>
      <c r="D312" t="s">
        <v>44</v>
      </c>
      <c r="E312" t="s">
        <v>37</v>
      </c>
      <c r="F312" s="3">
        <v>8</v>
      </c>
      <c r="G312" s="4">
        <v>37527</v>
      </c>
      <c r="H312" s="4">
        <v>300216</v>
      </c>
      <c r="I312" s="4">
        <v>202034.07</v>
      </c>
      <c r="J312" s="4">
        <v>98181.93</v>
      </c>
      <c r="K312" t="s">
        <v>15</v>
      </c>
      <c r="L312" s="3">
        <f>(Table1[[#This Row],[Profit]]/Table1[[#This Row],[Sales_Amount]])*100</f>
        <v>32.703763290430885</v>
      </c>
      <c r="M312" s="4" t="str" cm="1">
        <f t="array" ref="M312">_xlfn.IFS(Table1[[#This Row],[Sales_Amount]]&gt;200000,"High",AND(Table1[[#This Row],[Sales_Amount]]&gt;100000,Table1[[#This Row],[Sales_Amount]]&lt;200000),"Medium",Table1[[#This Row],[Sales_Amount]]&lt;100000,"Low")</f>
        <v>High</v>
      </c>
      <c r="N312" t="str">
        <f>TEXT(Table1[[#This Row],[Order_Date]],"MMMM")</f>
        <v>April</v>
      </c>
      <c r="O312">
        <f>YEAR(Table1[[#This Row],[Order_Date]])</f>
        <v>2026</v>
      </c>
    </row>
    <row r="313" spans="1:15" x14ac:dyDescent="0.3">
      <c r="A313" t="s">
        <v>344</v>
      </c>
      <c r="B313" s="1">
        <v>46132</v>
      </c>
      <c r="C313" t="s">
        <v>28</v>
      </c>
      <c r="D313" t="s">
        <v>56</v>
      </c>
      <c r="E313" t="s">
        <v>19</v>
      </c>
      <c r="F313" s="3">
        <v>1</v>
      </c>
      <c r="G313" s="4">
        <v>6627</v>
      </c>
      <c r="H313" s="4">
        <v>6627</v>
      </c>
      <c r="I313" s="4">
        <v>4781.93</v>
      </c>
      <c r="J313" s="4">
        <v>1845.07</v>
      </c>
      <c r="K313" t="s">
        <v>15</v>
      </c>
      <c r="L313" s="3">
        <f>(Table1[[#This Row],[Profit]]/Table1[[#This Row],[Sales_Amount]])*100</f>
        <v>27.841708163573259</v>
      </c>
      <c r="M313" s="4" t="str" cm="1">
        <f t="array" ref="M313">_xlfn.IFS(Table1[[#This Row],[Sales_Amount]]&gt;200000,"High",AND(Table1[[#This Row],[Sales_Amount]]&gt;100000,Table1[[#This Row],[Sales_Amount]]&lt;200000),"Medium",Table1[[#This Row],[Sales_Amount]]&lt;100000,"Low")</f>
        <v>Low</v>
      </c>
      <c r="N313" t="str">
        <f>TEXT(Table1[[#This Row],[Order_Date]],"MMMM")</f>
        <v>April</v>
      </c>
      <c r="O313">
        <f>YEAR(Table1[[#This Row],[Order_Date]])</f>
        <v>2026</v>
      </c>
    </row>
    <row r="314" spans="1:15" x14ac:dyDescent="0.3">
      <c r="A314" t="s">
        <v>345</v>
      </c>
      <c r="B314" s="1">
        <v>46133</v>
      </c>
      <c r="C314" t="s">
        <v>28</v>
      </c>
      <c r="D314" t="s">
        <v>34</v>
      </c>
      <c r="E314" t="s">
        <v>14</v>
      </c>
      <c r="F314" s="3">
        <v>3</v>
      </c>
      <c r="G314" s="4">
        <v>5918</v>
      </c>
      <c r="H314" s="4">
        <v>17754</v>
      </c>
      <c r="I314" s="4">
        <v>13314.75</v>
      </c>
      <c r="J314" s="4">
        <v>4439.25</v>
      </c>
      <c r="K314" t="s">
        <v>15</v>
      </c>
      <c r="L314" s="3">
        <f>(Table1[[#This Row],[Profit]]/Table1[[#This Row],[Sales_Amount]])*100</f>
        <v>25.004224400135183</v>
      </c>
      <c r="M314" s="4" t="str" cm="1">
        <f t="array" ref="M314">_xlfn.IFS(Table1[[#This Row],[Sales_Amount]]&gt;200000,"High",AND(Table1[[#This Row],[Sales_Amount]]&gt;100000,Table1[[#This Row],[Sales_Amount]]&lt;200000),"Medium",Table1[[#This Row],[Sales_Amount]]&lt;100000,"Low")</f>
        <v>Low</v>
      </c>
      <c r="N314" t="str">
        <f>TEXT(Table1[[#This Row],[Order_Date]],"MMMM")</f>
        <v>April</v>
      </c>
      <c r="O314">
        <f>YEAR(Table1[[#This Row],[Order_Date]])</f>
        <v>2026</v>
      </c>
    </row>
    <row r="315" spans="1:15" x14ac:dyDescent="0.3">
      <c r="A315" t="s">
        <v>346</v>
      </c>
      <c r="B315" s="1">
        <v>46134</v>
      </c>
      <c r="C315" t="s">
        <v>28</v>
      </c>
      <c r="D315" t="s">
        <v>44</v>
      </c>
      <c r="E315" t="s">
        <v>14</v>
      </c>
      <c r="F315" s="3">
        <v>4</v>
      </c>
      <c r="G315" s="4">
        <v>14355</v>
      </c>
      <c r="H315" s="4">
        <v>57420</v>
      </c>
      <c r="I315" s="4">
        <v>49977.33</v>
      </c>
      <c r="J315" s="4">
        <v>7442.67</v>
      </c>
      <c r="K315" t="s">
        <v>15</v>
      </c>
      <c r="L315" s="3">
        <f>(Table1[[#This Row],[Profit]]/Table1[[#This Row],[Sales_Amount]])*100</f>
        <v>12.961807732497387</v>
      </c>
      <c r="M315" s="4" t="str" cm="1">
        <f t="array" ref="M315">_xlfn.IFS(Table1[[#This Row],[Sales_Amount]]&gt;200000,"High",AND(Table1[[#This Row],[Sales_Amount]]&gt;100000,Table1[[#This Row],[Sales_Amount]]&lt;200000),"Medium",Table1[[#This Row],[Sales_Amount]]&lt;100000,"Low")</f>
        <v>Low</v>
      </c>
      <c r="N315" t="str">
        <f>TEXT(Table1[[#This Row],[Order_Date]],"MMMM")</f>
        <v>April</v>
      </c>
      <c r="O315">
        <f>YEAR(Table1[[#This Row],[Order_Date]])</f>
        <v>2026</v>
      </c>
    </row>
    <row r="316" spans="1:15" x14ac:dyDescent="0.3">
      <c r="A316" t="s">
        <v>347</v>
      </c>
      <c r="B316" s="1">
        <v>46135</v>
      </c>
      <c r="C316" t="s">
        <v>17</v>
      </c>
      <c r="D316" t="s">
        <v>13</v>
      </c>
      <c r="E316" t="s">
        <v>19</v>
      </c>
      <c r="F316" s="3">
        <v>5</v>
      </c>
      <c r="G316" s="4">
        <v>36088</v>
      </c>
      <c r="H316" s="4">
        <v>180440</v>
      </c>
      <c r="I316" s="4">
        <v>138767.92000000001</v>
      </c>
      <c r="J316" s="4">
        <v>41672.080000000002</v>
      </c>
      <c r="K316" t="s">
        <v>26</v>
      </c>
      <c r="L316" s="3">
        <f>(Table1[[#This Row],[Profit]]/Table1[[#This Row],[Sales_Amount]])*100</f>
        <v>23.094701839946801</v>
      </c>
      <c r="M316" s="4" t="str" cm="1">
        <f t="array" ref="M316">_xlfn.IFS(Table1[[#This Row],[Sales_Amount]]&gt;200000,"High",AND(Table1[[#This Row],[Sales_Amount]]&gt;100000,Table1[[#This Row],[Sales_Amount]]&lt;200000),"Medium",Table1[[#This Row],[Sales_Amount]]&lt;100000,"Low")</f>
        <v>Medium</v>
      </c>
      <c r="N316" t="str">
        <f>TEXT(Table1[[#This Row],[Order_Date]],"MMMM")</f>
        <v>April</v>
      </c>
      <c r="O316">
        <f>YEAR(Table1[[#This Row],[Order_Date]])</f>
        <v>2026</v>
      </c>
    </row>
    <row r="317" spans="1:15" x14ac:dyDescent="0.3">
      <c r="A317" t="s">
        <v>348</v>
      </c>
      <c r="B317" s="1">
        <v>46136</v>
      </c>
      <c r="C317" t="s">
        <v>28</v>
      </c>
      <c r="D317" t="s">
        <v>29</v>
      </c>
      <c r="E317" t="s">
        <v>22</v>
      </c>
      <c r="F317" s="3">
        <v>10</v>
      </c>
      <c r="G317" s="4">
        <v>9949</v>
      </c>
      <c r="H317" s="4">
        <v>99490</v>
      </c>
      <c r="I317" s="4">
        <v>82146.539999999994</v>
      </c>
      <c r="J317" s="4">
        <v>17343.46</v>
      </c>
      <c r="K317" t="s">
        <v>26</v>
      </c>
      <c r="L317" s="3">
        <f>(Table1[[#This Row],[Profit]]/Table1[[#This Row],[Sales_Amount]])*100</f>
        <v>17.432365061815258</v>
      </c>
      <c r="M317" s="4" t="str" cm="1">
        <f t="array" ref="M317">_xlfn.IFS(Table1[[#This Row],[Sales_Amount]]&gt;200000,"High",AND(Table1[[#This Row],[Sales_Amount]]&gt;100000,Table1[[#This Row],[Sales_Amount]]&lt;200000),"Medium",Table1[[#This Row],[Sales_Amount]]&lt;100000,"Low")</f>
        <v>Low</v>
      </c>
      <c r="N317" t="str">
        <f>TEXT(Table1[[#This Row],[Order_Date]],"MMMM")</f>
        <v>April</v>
      </c>
      <c r="O317">
        <f>YEAR(Table1[[#This Row],[Order_Date]])</f>
        <v>2026</v>
      </c>
    </row>
    <row r="318" spans="1:15" x14ac:dyDescent="0.3">
      <c r="A318" t="s">
        <v>349</v>
      </c>
      <c r="B318" s="1">
        <v>46137</v>
      </c>
      <c r="C318" t="s">
        <v>28</v>
      </c>
      <c r="D318" t="s">
        <v>34</v>
      </c>
      <c r="E318" t="s">
        <v>25</v>
      </c>
      <c r="F318" s="3">
        <v>4</v>
      </c>
      <c r="G318" s="4">
        <v>37638</v>
      </c>
      <c r="H318" s="4">
        <v>150552</v>
      </c>
      <c r="I318" s="4">
        <v>128028.69</v>
      </c>
      <c r="J318" s="4">
        <v>22523.31</v>
      </c>
      <c r="K318" t="s">
        <v>58</v>
      </c>
      <c r="L318" s="3">
        <f>(Table1[[#This Row],[Profit]]/Table1[[#This Row],[Sales_Amount]])*100</f>
        <v>14.960485413677668</v>
      </c>
      <c r="M318" s="4" t="str" cm="1">
        <f t="array" ref="M318">_xlfn.IFS(Table1[[#This Row],[Sales_Amount]]&gt;200000,"High",AND(Table1[[#This Row],[Sales_Amount]]&gt;100000,Table1[[#This Row],[Sales_Amount]]&lt;200000),"Medium",Table1[[#This Row],[Sales_Amount]]&lt;100000,"Low")</f>
        <v>Medium</v>
      </c>
      <c r="N318" t="str">
        <f>TEXT(Table1[[#This Row],[Order_Date]],"MMMM")</f>
        <v>April</v>
      </c>
      <c r="O318">
        <f>YEAR(Table1[[#This Row],[Order_Date]])</f>
        <v>2026</v>
      </c>
    </row>
    <row r="319" spans="1:15" x14ac:dyDescent="0.3">
      <c r="A319" t="s">
        <v>350</v>
      </c>
      <c r="B319" s="1">
        <v>46138</v>
      </c>
      <c r="C319" t="s">
        <v>40</v>
      </c>
      <c r="D319" t="s">
        <v>18</v>
      </c>
      <c r="E319" t="s">
        <v>19</v>
      </c>
      <c r="F319" s="3">
        <v>2</v>
      </c>
      <c r="G319" s="4">
        <v>33319</v>
      </c>
      <c r="H319" s="4">
        <v>66638</v>
      </c>
      <c r="I319" s="4">
        <v>54885.52</v>
      </c>
      <c r="J319" s="4">
        <v>11752.48</v>
      </c>
      <c r="K319" t="s">
        <v>15</v>
      </c>
      <c r="L319" s="3">
        <f>(Table1[[#This Row],[Profit]]/Table1[[#This Row],[Sales_Amount]])*100</f>
        <v>17.636303610552538</v>
      </c>
      <c r="M319" s="4" t="str" cm="1">
        <f t="array" ref="M319">_xlfn.IFS(Table1[[#This Row],[Sales_Amount]]&gt;200000,"High",AND(Table1[[#This Row],[Sales_Amount]]&gt;100000,Table1[[#This Row],[Sales_Amount]]&lt;200000),"Medium",Table1[[#This Row],[Sales_Amount]]&lt;100000,"Low")</f>
        <v>Low</v>
      </c>
      <c r="N319" t="str">
        <f>TEXT(Table1[[#This Row],[Order_Date]],"MMMM")</f>
        <v>April</v>
      </c>
      <c r="O319">
        <f>YEAR(Table1[[#This Row],[Order_Date]])</f>
        <v>2026</v>
      </c>
    </row>
    <row r="320" spans="1:15" x14ac:dyDescent="0.3">
      <c r="A320" t="s">
        <v>351</v>
      </c>
      <c r="B320" s="1">
        <v>46139</v>
      </c>
      <c r="C320" t="s">
        <v>28</v>
      </c>
      <c r="D320" t="s">
        <v>34</v>
      </c>
      <c r="E320" t="s">
        <v>22</v>
      </c>
      <c r="F320" s="3">
        <v>2</v>
      </c>
      <c r="G320" s="4">
        <v>22821</v>
      </c>
      <c r="H320" s="4">
        <v>45642</v>
      </c>
      <c r="I320" s="4">
        <v>35671.53</v>
      </c>
      <c r="J320" s="4">
        <v>9970.4699999999993</v>
      </c>
      <c r="K320" t="s">
        <v>15</v>
      </c>
      <c r="L320" s="3">
        <f>(Table1[[#This Row],[Profit]]/Table1[[#This Row],[Sales_Amount]])*100</f>
        <v>21.84494544498488</v>
      </c>
      <c r="M320" s="4" t="str" cm="1">
        <f t="array" ref="M320">_xlfn.IFS(Table1[[#This Row],[Sales_Amount]]&gt;200000,"High",AND(Table1[[#This Row],[Sales_Amount]]&gt;100000,Table1[[#This Row],[Sales_Amount]]&lt;200000),"Medium",Table1[[#This Row],[Sales_Amount]]&lt;100000,"Low")</f>
        <v>Low</v>
      </c>
      <c r="N320" t="str">
        <f>TEXT(Table1[[#This Row],[Order_Date]],"MMMM")</f>
        <v>April</v>
      </c>
      <c r="O320">
        <f>YEAR(Table1[[#This Row],[Order_Date]])</f>
        <v>2026</v>
      </c>
    </row>
    <row r="321" spans="1:15" x14ac:dyDescent="0.3">
      <c r="A321" t="s">
        <v>352</v>
      </c>
      <c r="B321" s="1">
        <v>46140</v>
      </c>
      <c r="C321" t="s">
        <v>28</v>
      </c>
      <c r="D321" t="s">
        <v>21</v>
      </c>
      <c r="E321" t="s">
        <v>32</v>
      </c>
      <c r="F321" s="3">
        <v>8</v>
      </c>
      <c r="G321" s="4">
        <v>32652</v>
      </c>
      <c r="H321" s="4">
        <v>261216</v>
      </c>
      <c r="I321" s="4">
        <v>174607.62</v>
      </c>
      <c r="J321" s="4">
        <v>86608.38</v>
      </c>
      <c r="K321" t="s">
        <v>23</v>
      </c>
      <c r="L321" s="3">
        <f>(Table1[[#This Row],[Profit]]/Table1[[#This Row],[Sales_Amount]])*100</f>
        <v>33.155848033811104</v>
      </c>
      <c r="M321" s="4" t="str" cm="1">
        <f t="array" ref="M321">_xlfn.IFS(Table1[[#This Row],[Sales_Amount]]&gt;200000,"High",AND(Table1[[#This Row],[Sales_Amount]]&gt;100000,Table1[[#This Row],[Sales_Amount]]&lt;200000),"Medium",Table1[[#This Row],[Sales_Amount]]&lt;100000,"Low")</f>
        <v>High</v>
      </c>
      <c r="N321" t="str">
        <f>TEXT(Table1[[#This Row],[Order_Date]],"MMMM")</f>
        <v>April</v>
      </c>
      <c r="O321">
        <f>YEAR(Table1[[#This Row],[Order_Date]])</f>
        <v>2026</v>
      </c>
    </row>
    <row r="322" spans="1:15" x14ac:dyDescent="0.3">
      <c r="A322" t="s">
        <v>353</v>
      </c>
      <c r="B322" s="1">
        <v>46141</v>
      </c>
      <c r="C322" t="s">
        <v>40</v>
      </c>
      <c r="D322" t="s">
        <v>51</v>
      </c>
      <c r="E322" t="s">
        <v>25</v>
      </c>
      <c r="F322" s="3">
        <v>7</v>
      </c>
      <c r="G322" s="4">
        <v>6116</v>
      </c>
      <c r="H322" s="4">
        <v>42812</v>
      </c>
      <c r="I322" s="4">
        <v>35604.61</v>
      </c>
      <c r="J322" s="4">
        <v>7207.39</v>
      </c>
      <c r="K322" t="s">
        <v>15</v>
      </c>
      <c r="L322" s="3">
        <f>(Table1[[#This Row],[Profit]]/Table1[[#This Row],[Sales_Amount]])*100</f>
        <v>16.834976174904234</v>
      </c>
      <c r="M322" s="4" t="str" cm="1">
        <f t="array" ref="M322">_xlfn.IFS(Table1[[#This Row],[Sales_Amount]]&gt;200000,"High",AND(Table1[[#This Row],[Sales_Amount]]&gt;100000,Table1[[#This Row],[Sales_Amount]]&lt;200000),"Medium",Table1[[#This Row],[Sales_Amount]]&lt;100000,"Low")</f>
        <v>Low</v>
      </c>
      <c r="N322" t="str">
        <f>TEXT(Table1[[#This Row],[Order_Date]],"MMMM")</f>
        <v>April</v>
      </c>
      <c r="O322">
        <f>YEAR(Table1[[#This Row],[Order_Date]])</f>
        <v>2026</v>
      </c>
    </row>
    <row r="323" spans="1:15" x14ac:dyDescent="0.3">
      <c r="A323" t="s">
        <v>354</v>
      </c>
      <c r="B323" s="1">
        <v>46142</v>
      </c>
      <c r="C323" t="s">
        <v>12</v>
      </c>
      <c r="D323" t="s">
        <v>21</v>
      </c>
      <c r="E323" t="s">
        <v>32</v>
      </c>
      <c r="F323" s="3">
        <v>3</v>
      </c>
      <c r="G323" s="4">
        <v>25403</v>
      </c>
      <c r="H323" s="4">
        <v>76209</v>
      </c>
      <c r="I323" s="4">
        <v>61996.26</v>
      </c>
      <c r="J323" s="4">
        <v>14212.74</v>
      </c>
      <c r="K323" t="s">
        <v>26</v>
      </c>
      <c r="L323" s="3">
        <f>(Table1[[#This Row],[Profit]]/Table1[[#This Row],[Sales_Amount]])*100</f>
        <v>18.649687044837222</v>
      </c>
      <c r="M323" s="4" t="str" cm="1">
        <f t="array" ref="M323">_xlfn.IFS(Table1[[#This Row],[Sales_Amount]]&gt;200000,"High",AND(Table1[[#This Row],[Sales_Amount]]&gt;100000,Table1[[#This Row],[Sales_Amount]]&lt;200000),"Medium",Table1[[#This Row],[Sales_Amount]]&lt;100000,"Low")</f>
        <v>Low</v>
      </c>
      <c r="N323" t="str">
        <f>TEXT(Table1[[#This Row],[Order_Date]],"MMMM")</f>
        <v>April</v>
      </c>
      <c r="O323">
        <f>YEAR(Table1[[#This Row],[Order_Date]])</f>
        <v>2026</v>
      </c>
    </row>
    <row r="324" spans="1:15" x14ac:dyDescent="0.3">
      <c r="A324" t="s">
        <v>355</v>
      </c>
      <c r="B324" s="1">
        <v>46143</v>
      </c>
      <c r="C324" t="s">
        <v>28</v>
      </c>
      <c r="D324" t="s">
        <v>34</v>
      </c>
      <c r="E324" t="s">
        <v>14</v>
      </c>
      <c r="F324" s="3">
        <v>2</v>
      </c>
      <c r="G324" s="4">
        <v>840</v>
      </c>
      <c r="H324" s="4">
        <v>1680</v>
      </c>
      <c r="I324" s="4">
        <v>1483.25</v>
      </c>
      <c r="J324" s="4">
        <v>196.75</v>
      </c>
      <c r="K324" t="s">
        <v>26</v>
      </c>
      <c r="L324" s="3">
        <f>(Table1[[#This Row],[Profit]]/Table1[[#This Row],[Sales_Amount]])*100</f>
        <v>11.711309523809524</v>
      </c>
      <c r="M324" s="4" t="str" cm="1">
        <f t="array" ref="M324">_xlfn.IFS(Table1[[#This Row],[Sales_Amount]]&gt;200000,"High",AND(Table1[[#This Row],[Sales_Amount]]&gt;100000,Table1[[#This Row],[Sales_Amount]]&lt;200000),"Medium",Table1[[#This Row],[Sales_Amount]]&lt;100000,"Low")</f>
        <v>Low</v>
      </c>
      <c r="N324" t="str">
        <f>TEXT(Table1[[#This Row],[Order_Date]],"MMMM")</f>
        <v>May</v>
      </c>
      <c r="O324">
        <f>YEAR(Table1[[#This Row],[Order_Date]])</f>
        <v>2026</v>
      </c>
    </row>
    <row r="325" spans="1:15" x14ac:dyDescent="0.3">
      <c r="A325" t="s">
        <v>356</v>
      </c>
      <c r="B325" s="1">
        <v>46144</v>
      </c>
      <c r="C325" t="s">
        <v>28</v>
      </c>
      <c r="D325" t="s">
        <v>29</v>
      </c>
      <c r="E325" t="s">
        <v>22</v>
      </c>
      <c r="F325" s="3">
        <v>2</v>
      </c>
      <c r="G325" s="4">
        <v>12780</v>
      </c>
      <c r="H325" s="4">
        <v>25560</v>
      </c>
      <c r="I325" s="4">
        <v>18640.75</v>
      </c>
      <c r="J325" s="4">
        <v>6919.25</v>
      </c>
      <c r="K325" t="s">
        <v>15</v>
      </c>
      <c r="L325" s="3">
        <f>(Table1[[#This Row],[Profit]]/Table1[[#This Row],[Sales_Amount]])*100</f>
        <v>27.070618153364634</v>
      </c>
      <c r="M325" s="4" t="str" cm="1">
        <f t="array" ref="M325">_xlfn.IFS(Table1[[#This Row],[Sales_Amount]]&gt;200000,"High",AND(Table1[[#This Row],[Sales_Amount]]&gt;100000,Table1[[#This Row],[Sales_Amount]]&lt;200000),"Medium",Table1[[#This Row],[Sales_Amount]]&lt;100000,"Low")</f>
        <v>Low</v>
      </c>
      <c r="N325" t="str">
        <f>TEXT(Table1[[#This Row],[Order_Date]],"MMMM")</f>
        <v>May</v>
      </c>
      <c r="O325">
        <f>YEAR(Table1[[#This Row],[Order_Date]])</f>
        <v>2026</v>
      </c>
    </row>
    <row r="326" spans="1:15" x14ac:dyDescent="0.3">
      <c r="A326" t="s">
        <v>357</v>
      </c>
      <c r="B326" s="1">
        <v>46145</v>
      </c>
      <c r="C326" t="s">
        <v>40</v>
      </c>
      <c r="D326" t="s">
        <v>21</v>
      </c>
      <c r="E326" t="s">
        <v>32</v>
      </c>
      <c r="F326" s="3">
        <v>9</v>
      </c>
      <c r="G326" s="4">
        <v>6599</v>
      </c>
      <c r="H326" s="4">
        <v>59391</v>
      </c>
      <c r="I326" s="4">
        <v>46270.18</v>
      </c>
      <c r="J326" s="4">
        <v>13120.82</v>
      </c>
      <c r="K326" t="s">
        <v>15</v>
      </c>
      <c r="L326" s="3">
        <f>(Table1[[#This Row],[Profit]]/Table1[[#This Row],[Sales_Amount]])*100</f>
        <v>22.09226987253961</v>
      </c>
      <c r="M326" s="4" t="str" cm="1">
        <f t="array" ref="M326">_xlfn.IFS(Table1[[#This Row],[Sales_Amount]]&gt;200000,"High",AND(Table1[[#This Row],[Sales_Amount]]&gt;100000,Table1[[#This Row],[Sales_Amount]]&lt;200000),"Medium",Table1[[#This Row],[Sales_Amount]]&lt;100000,"Low")</f>
        <v>Low</v>
      </c>
      <c r="N326" t="str">
        <f>TEXT(Table1[[#This Row],[Order_Date]],"MMMM")</f>
        <v>May</v>
      </c>
      <c r="O326">
        <f>YEAR(Table1[[#This Row],[Order_Date]])</f>
        <v>2026</v>
      </c>
    </row>
    <row r="327" spans="1:15" x14ac:dyDescent="0.3">
      <c r="A327" t="s">
        <v>358</v>
      </c>
      <c r="B327" s="1">
        <v>46146</v>
      </c>
      <c r="C327" t="s">
        <v>12</v>
      </c>
      <c r="D327" t="s">
        <v>13</v>
      </c>
      <c r="E327" t="s">
        <v>37</v>
      </c>
      <c r="F327" s="3">
        <v>7</v>
      </c>
      <c r="G327" s="4">
        <v>6050</v>
      </c>
      <c r="H327" s="4">
        <v>42350</v>
      </c>
      <c r="I327" s="4">
        <v>34619.14</v>
      </c>
      <c r="J327" s="4">
        <v>7730.86</v>
      </c>
      <c r="K327" t="s">
        <v>58</v>
      </c>
      <c r="L327" s="3">
        <f>(Table1[[#This Row],[Profit]]/Table1[[#This Row],[Sales_Amount]])*100</f>
        <v>18.254687131050769</v>
      </c>
      <c r="M327" s="4" t="str" cm="1">
        <f t="array" ref="M327">_xlfn.IFS(Table1[[#This Row],[Sales_Amount]]&gt;200000,"High",AND(Table1[[#This Row],[Sales_Amount]]&gt;100000,Table1[[#This Row],[Sales_Amount]]&lt;200000),"Medium",Table1[[#This Row],[Sales_Amount]]&lt;100000,"Low")</f>
        <v>Low</v>
      </c>
      <c r="N327" t="str">
        <f>TEXT(Table1[[#This Row],[Order_Date]],"MMMM")</f>
        <v>May</v>
      </c>
      <c r="O327">
        <f>YEAR(Table1[[#This Row],[Order_Date]])</f>
        <v>2026</v>
      </c>
    </row>
    <row r="328" spans="1:15" x14ac:dyDescent="0.3">
      <c r="A328" t="s">
        <v>359</v>
      </c>
      <c r="B328" s="1">
        <v>46147</v>
      </c>
      <c r="C328" t="s">
        <v>12</v>
      </c>
      <c r="D328" t="s">
        <v>29</v>
      </c>
      <c r="E328" t="s">
        <v>22</v>
      </c>
      <c r="F328" s="3">
        <v>5</v>
      </c>
      <c r="G328" s="4">
        <v>20234</v>
      </c>
      <c r="H328" s="4">
        <v>101170</v>
      </c>
      <c r="I328" s="4">
        <v>68848.41</v>
      </c>
      <c r="J328" s="4">
        <v>32321.59</v>
      </c>
      <c r="K328" t="s">
        <v>23</v>
      </c>
      <c r="L328" s="3">
        <f>(Table1[[#This Row],[Profit]]/Table1[[#This Row],[Sales_Amount]])*100</f>
        <v>31.947800731442129</v>
      </c>
      <c r="M328" s="4" t="str" cm="1">
        <f t="array" ref="M328">_xlfn.IFS(Table1[[#This Row],[Sales_Amount]]&gt;200000,"High",AND(Table1[[#This Row],[Sales_Amount]]&gt;100000,Table1[[#This Row],[Sales_Amount]]&lt;200000),"Medium",Table1[[#This Row],[Sales_Amount]]&lt;100000,"Low")</f>
        <v>Medium</v>
      </c>
      <c r="N328" t="str">
        <f>TEXT(Table1[[#This Row],[Order_Date]],"MMMM")</f>
        <v>May</v>
      </c>
      <c r="O328">
        <f>YEAR(Table1[[#This Row],[Order_Date]])</f>
        <v>2026</v>
      </c>
    </row>
    <row r="329" spans="1:15" x14ac:dyDescent="0.3">
      <c r="A329" t="s">
        <v>360</v>
      </c>
      <c r="B329" s="1">
        <v>46148</v>
      </c>
      <c r="C329" t="s">
        <v>17</v>
      </c>
      <c r="D329" t="s">
        <v>34</v>
      </c>
      <c r="E329" t="s">
        <v>32</v>
      </c>
      <c r="F329" s="3">
        <v>7</v>
      </c>
      <c r="G329" s="4">
        <v>20144</v>
      </c>
      <c r="H329" s="4">
        <v>141008</v>
      </c>
      <c r="I329" s="4">
        <v>105088.95</v>
      </c>
      <c r="J329" s="4">
        <v>35919.050000000003</v>
      </c>
      <c r="K329" t="s">
        <v>26</v>
      </c>
      <c r="L329" s="3">
        <f>(Table1[[#This Row],[Profit]]/Table1[[#This Row],[Sales_Amount]])*100</f>
        <v>25.473058266197661</v>
      </c>
      <c r="M329" s="4" t="str" cm="1">
        <f t="array" ref="M329">_xlfn.IFS(Table1[[#This Row],[Sales_Amount]]&gt;200000,"High",AND(Table1[[#This Row],[Sales_Amount]]&gt;100000,Table1[[#This Row],[Sales_Amount]]&lt;200000),"Medium",Table1[[#This Row],[Sales_Amount]]&lt;100000,"Low")</f>
        <v>Medium</v>
      </c>
      <c r="N329" t="str">
        <f>TEXT(Table1[[#This Row],[Order_Date]],"MMMM")</f>
        <v>May</v>
      </c>
      <c r="O329">
        <f>YEAR(Table1[[#This Row],[Order_Date]])</f>
        <v>2026</v>
      </c>
    </row>
    <row r="330" spans="1:15" x14ac:dyDescent="0.3">
      <c r="A330" t="s">
        <v>361</v>
      </c>
      <c r="B330" s="1">
        <v>46149</v>
      </c>
      <c r="C330" t="s">
        <v>28</v>
      </c>
      <c r="D330" t="s">
        <v>29</v>
      </c>
      <c r="E330" t="s">
        <v>19</v>
      </c>
      <c r="F330" s="3">
        <v>8</v>
      </c>
      <c r="G330" s="4">
        <v>39415</v>
      </c>
      <c r="H330" s="4">
        <v>315320</v>
      </c>
      <c r="I330" s="4">
        <v>247526.39999999999</v>
      </c>
      <c r="J330" s="4">
        <v>67793.600000000006</v>
      </c>
      <c r="K330" t="s">
        <v>23</v>
      </c>
      <c r="L330" s="3">
        <f>(Table1[[#This Row],[Profit]]/Table1[[#This Row],[Sales_Amount]])*100</f>
        <v>21.499936572370927</v>
      </c>
      <c r="M330" s="4" t="str" cm="1">
        <f t="array" ref="M330">_xlfn.IFS(Table1[[#This Row],[Sales_Amount]]&gt;200000,"High",AND(Table1[[#This Row],[Sales_Amount]]&gt;100000,Table1[[#This Row],[Sales_Amount]]&lt;200000),"Medium",Table1[[#This Row],[Sales_Amount]]&lt;100000,"Low")</f>
        <v>High</v>
      </c>
      <c r="N330" t="str">
        <f>TEXT(Table1[[#This Row],[Order_Date]],"MMMM")</f>
        <v>May</v>
      </c>
      <c r="O330">
        <f>YEAR(Table1[[#This Row],[Order_Date]])</f>
        <v>2026</v>
      </c>
    </row>
    <row r="331" spans="1:15" x14ac:dyDescent="0.3">
      <c r="A331" t="s">
        <v>362</v>
      </c>
      <c r="B331" s="1">
        <v>46150</v>
      </c>
      <c r="C331" t="s">
        <v>28</v>
      </c>
      <c r="D331" t="s">
        <v>34</v>
      </c>
      <c r="E331" t="s">
        <v>14</v>
      </c>
      <c r="F331" s="3">
        <v>7</v>
      </c>
      <c r="G331" s="4">
        <v>22272</v>
      </c>
      <c r="H331" s="4">
        <v>155904</v>
      </c>
      <c r="I331" s="4">
        <v>132905.67000000001</v>
      </c>
      <c r="J331" s="4">
        <v>22998.33</v>
      </c>
      <c r="K331" t="s">
        <v>58</v>
      </c>
      <c r="L331" s="3">
        <f>(Table1[[#This Row],[Profit]]/Table1[[#This Row],[Sales_Amount]])*100</f>
        <v>14.751597136699509</v>
      </c>
      <c r="M331" s="4" t="str" cm="1">
        <f t="array" ref="M331">_xlfn.IFS(Table1[[#This Row],[Sales_Amount]]&gt;200000,"High",AND(Table1[[#This Row],[Sales_Amount]]&gt;100000,Table1[[#This Row],[Sales_Amount]]&lt;200000),"Medium",Table1[[#This Row],[Sales_Amount]]&lt;100000,"Low")</f>
        <v>Medium</v>
      </c>
      <c r="N331" t="str">
        <f>TEXT(Table1[[#This Row],[Order_Date]],"MMMM")</f>
        <v>May</v>
      </c>
      <c r="O331">
        <f>YEAR(Table1[[#This Row],[Order_Date]])</f>
        <v>2026</v>
      </c>
    </row>
    <row r="332" spans="1:15" x14ac:dyDescent="0.3">
      <c r="A332" t="s">
        <v>363</v>
      </c>
      <c r="B332" s="1">
        <v>46151</v>
      </c>
      <c r="C332" t="s">
        <v>12</v>
      </c>
      <c r="D332" t="s">
        <v>56</v>
      </c>
      <c r="E332" t="s">
        <v>37</v>
      </c>
      <c r="F332" s="3">
        <v>10</v>
      </c>
      <c r="G332" s="4">
        <v>9421</v>
      </c>
      <c r="H332" s="4">
        <v>94210</v>
      </c>
      <c r="I332" s="4">
        <v>65017.2</v>
      </c>
      <c r="J332" s="4">
        <v>29192.799999999999</v>
      </c>
      <c r="K332" t="s">
        <v>26</v>
      </c>
      <c r="L332" s="3">
        <f>(Table1[[#This Row],[Profit]]/Table1[[#This Row],[Sales_Amount]])*100</f>
        <v>30.986944061140004</v>
      </c>
      <c r="M332" s="4" t="str" cm="1">
        <f t="array" ref="M332">_xlfn.IFS(Table1[[#This Row],[Sales_Amount]]&gt;200000,"High",AND(Table1[[#This Row],[Sales_Amount]]&gt;100000,Table1[[#This Row],[Sales_Amount]]&lt;200000),"Medium",Table1[[#This Row],[Sales_Amount]]&lt;100000,"Low")</f>
        <v>Low</v>
      </c>
      <c r="N332" t="str">
        <f>TEXT(Table1[[#This Row],[Order_Date]],"MMMM")</f>
        <v>May</v>
      </c>
      <c r="O332">
        <f>YEAR(Table1[[#This Row],[Order_Date]])</f>
        <v>2026</v>
      </c>
    </row>
    <row r="333" spans="1:15" x14ac:dyDescent="0.3">
      <c r="A333" t="s">
        <v>364</v>
      </c>
      <c r="B333" s="1">
        <v>46152</v>
      </c>
      <c r="C333" t="s">
        <v>28</v>
      </c>
      <c r="D333" t="s">
        <v>51</v>
      </c>
      <c r="E333" t="s">
        <v>37</v>
      </c>
      <c r="F333" s="3">
        <v>6</v>
      </c>
      <c r="G333" s="4">
        <v>19600</v>
      </c>
      <c r="H333" s="4">
        <v>117600</v>
      </c>
      <c r="I333" s="4">
        <v>96486.37</v>
      </c>
      <c r="J333" s="4">
        <v>21113.63</v>
      </c>
      <c r="K333" t="s">
        <v>26</v>
      </c>
      <c r="L333" s="3">
        <f>(Table1[[#This Row],[Profit]]/Table1[[#This Row],[Sales_Amount]])*100</f>
        <v>17.953767006802725</v>
      </c>
      <c r="M333" s="4" t="str" cm="1">
        <f t="array" ref="M333">_xlfn.IFS(Table1[[#This Row],[Sales_Amount]]&gt;200000,"High",AND(Table1[[#This Row],[Sales_Amount]]&gt;100000,Table1[[#This Row],[Sales_Amount]]&lt;200000),"Medium",Table1[[#This Row],[Sales_Amount]]&lt;100000,"Low")</f>
        <v>Medium</v>
      </c>
      <c r="N333" t="str">
        <f>TEXT(Table1[[#This Row],[Order_Date]],"MMMM")</f>
        <v>May</v>
      </c>
      <c r="O333">
        <f>YEAR(Table1[[#This Row],[Order_Date]])</f>
        <v>2026</v>
      </c>
    </row>
    <row r="334" spans="1:15" x14ac:dyDescent="0.3">
      <c r="A334" t="s">
        <v>365</v>
      </c>
      <c r="B334" s="1">
        <v>46153</v>
      </c>
      <c r="C334" t="s">
        <v>12</v>
      </c>
      <c r="D334" t="s">
        <v>13</v>
      </c>
      <c r="E334" t="s">
        <v>32</v>
      </c>
      <c r="F334" s="3">
        <v>7</v>
      </c>
      <c r="G334" s="4">
        <v>24421</v>
      </c>
      <c r="H334" s="4">
        <v>170947</v>
      </c>
      <c r="I334" s="4">
        <v>108408.83</v>
      </c>
      <c r="J334" s="4">
        <v>62538.17</v>
      </c>
      <c r="K334" t="s">
        <v>15</v>
      </c>
      <c r="L334" s="3">
        <f>(Table1[[#This Row],[Profit]]/Table1[[#This Row],[Sales_Amount]])*100</f>
        <v>36.583367944450615</v>
      </c>
      <c r="M334" s="4" t="str" cm="1">
        <f t="array" ref="M334">_xlfn.IFS(Table1[[#This Row],[Sales_Amount]]&gt;200000,"High",AND(Table1[[#This Row],[Sales_Amount]]&gt;100000,Table1[[#This Row],[Sales_Amount]]&lt;200000),"Medium",Table1[[#This Row],[Sales_Amount]]&lt;100000,"Low")</f>
        <v>Medium</v>
      </c>
      <c r="N334" t="str">
        <f>TEXT(Table1[[#This Row],[Order_Date]],"MMMM")</f>
        <v>May</v>
      </c>
      <c r="O334">
        <f>YEAR(Table1[[#This Row],[Order_Date]])</f>
        <v>2026</v>
      </c>
    </row>
    <row r="335" spans="1:15" x14ac:dyDescent="0.3">
      <c r="A335" t="s">
        <v>366</v>
      </c>
      <c r="B335" s="1">
        <v>46154</v>
      </c>
      <c r="C335" t="s">
        <v>17</v>
      </c>
      <c r="D335" t="s">
        <v>21</v>
      </c>
      <c r="E335" t="s">
        <v>19</v>
      </c>
      <c r="F335" s="3">
        <v>4</v>
      </c>
      <c r="G335" s="4">
        <v>29234</v>
      </c>
      <c r="H335" s="4">
        <v>116936</v>
      </c>
      <c r="I335" s="4">
        <v>98145.05</v>
      </c>
      <c r="J335" s="4">
        <v>18790.95</v>
      </c>
      <c r="K335" t="s">
        <v>58</v>
      </c>
      <c r="L335" s="3">
        <f>(Table1[[#This Row],[Profit]]/Table1[[#This Row],[Sales_Amount]])*100</f>
        <v>16.069431141821166</v>
      </c>
      <c r="M335" s="4" t="str" cm="1">
        <f t="array" ref="M335">_xlfn.IFS(Table1[[#This Row],[Sales_Amount]]&gt;200000,"High",AND(Table1[[#This Row],[Sales_Amount]]&gt;100000,Table1[[#This Row],[Sales_Amount]]&lt;200000),"Medium",Table1[[#This Row],[Sales_Amount]]&lt;100000,"Low")</f>
        <v>Medium</v>
      </c>
      <c r="N335" t="str">
        <f>TEXT(Table1[[#This Row],[Order_Date]],"MMMM")</f>
        <v>May</v>
      </c>
      <c r="O335">
        <f>YEAR(Table1[[#This Row],[Order_Date]])</f>
        <v>2026</v>
      </c>
    </row>
    <row r="336" spans="1:15" x14ac:dyDescent="0.3">
      <c r="A336" t="s">
        <v>367</v>
      </c>
      <c r="B336" s="1">
        <v>46155</v>
      </c>
      <c r="C336" t="s">
        <v>12</v>
      </c>
      <c r="D336" t="s">
        <v>21</v>
      </c>
      <c r="E336" t="s">
        <v>19</v>
      </c>
      <c r="F336" s="3">
        <v>5</v>
      </c>
      <c r="G336" s="4">
        <v>16361</v>
      </c>
      <c r="H336" s="4">
        <v>81805</v>
      </c>
      <c r="I336" s="4">
        <v>55284.19</v>
      </c>
      <c r="J336" s="4">
        <v>26520.81</v>
      </c>
      <c r="K336" t="s">
        <v>58</v>
      </c>
      <c r="L336" s="3">
        <f>(Table1[[#This Row],[Profit]]/Table1[[#This Row],[Sales_Amount]])*100</f>
        <v>32.419546482488848</v>
      </c>
      <c r="M336" s="4" t="str" cm="1">
        <f t="array" ref="M336">_xlfn.IFS(Table1[[#This Row],[Sales_Amount]]&gt;200000,"High",AND(Table1[[#This Row],[Sales_Amount]]&gt;100000,Table1[[#This Row],[Sales_Amount]]&lt;200000),"Medium",Table1[[#This Row],[Sales_Amount]]&lt;100000,"Low")</f>
        <v>Low</v>
      </c>
      <c r="N336" t="str">
        <f>TEXT(Table1[[#This Row],[Order_Date]],"MMMM")</f>
        <v>May</v>
      </c>
      <c r="O336">
        <f>YEAR(Table1[[#This Row],[Order_Date]])</f>
        <v>2026</v>
      </c>
    </row>
    <row r="337" spans="1:15" x14ac:dyDescent="0.3">
      <c r="A337" t="s">
        <v>368</v>
      </c>
      <c r="B337" s="1">
        <v>46156</v>
      </c>
      <c r="C337" t="s">
        <v>28</v>
      </c>
      <c r="D337" t="s">
        <v>18</v>
      </c>
      <c r="E337" t="s">
        <v>37</v>
      </c>
      <c r="F337" s="3">
        <v>10</v>
      </c>
      <c r="G337" s="4">
        <v>31907</v>
      </c>
      <c r="H337" s="4">
        <v>319070</v>
      </c>
      <c r="I337" s="4">
        <v>247174.98</v>
      </c>
      <c r="J337" s="4">
        <v>71895.02</v>
      </c>
      <c r="K337" t="s">
        <v>26</v>
      </c>
      <c r="L337" s="3">
        <f>(Table1[[#This Row],[Profit]]/Table1[[#This Row],[Sales_Amount]])*100</f>
        <v>22.532679349359075</v>
      </c>
      <c r="M337" s="4" t="str" cm="1">
        <f t="array" ref="M337">_xlfn.IFS(Table1[[#This Row],[Sales_Amount]]&gt;200000,"High",AND(Table1[[#This Row],[Sales_Amount]]&gt;100000,Table1[[#This Row],[Sales_Amount]]&lt;200000),"Medium",Table1[[#This Row],[Sales_Amount]]&lt;100000,"Low")</f>
        <v>High</v>
      </c>
      <c r="N337" t="str">
        <f>TEXT(Table1[[#This Row],[Order_Date]],"MMMM")</f>
        <v>May</v>
      </c>
      <c r="O337">
        <f>YEAR(Table1[[#This Row],[Order_Date]])</f>
        <v>2026</v>
      </c>
    </row>
    <row r="338" spans="1:15" x14ac:dyDescent="0.3">
      <c r="A338" t="s">
        <v>369</v>
      </c>
      <c r="B338" s="1">
        <v>46157</v>
      </c>
      <c r="C338" t="s">
        <v>17</v>
      </c>
      <c r="D338" t="s">
        <v>51</v>
      </c>
      <c r="E338" t="s">
        <v>25</v>
      </c>
      <c r="F338" s="3">
        <v>10</v>
      </c>
      <c r="G338" s="4">
        <v>42323</v>
      </c>
      <c r="H338" s="4">
        <v>423230</v>
      </c>
      <c r="I338" s="4">
        <v>370038.61</v>
      </c>
      <c r="J338" s="4">
        <v>53191.39</v>
      </c>
      <c r="K338" t="s">
        <v>26</v>
      </c>
      <c r="L338" s="3">
        <f>(Table1[[#This Row],[Profit]]/Table1[[#This Row],[Sales_Amount]])*100</f>
        <v>12.567963046097866</v>
      </c>
      <c r="M338" s="4" t="str" cm="1">
        <f t="array" ref="M338">_xlfn.IFS(Table1[[#This Row],[Sales_Amount]]&gt;200000,"High",AND(Table1[[#This Row],[Sales_Amount]]&gt;100000,Table1[[#This Row],[Sales_Amount]]&lt;200000),"Medium",Table1[[#This Row],[Sales_Amount]]&lt;100000,"Low")</f>
        <v>High</v>
      </c>
      <c r="N338" t="str">
        <f>TEXT(Table1[[#This Row],[Order_Date]],"MMMM")</f>
        <v>May</v>
      </c>
      <c r="O338">
        <f>YEAR(Table1[[#This Row],[Order_Date]])</f>
        <v>2026</v>
      </c>
    </row>
    <row r="339" spans="1:15" x14ac:dyDescent="0.3">
      <c r="A339" t="s">
        <v>370</v>
      </c>
      <c r="B339" s="1">
        <v>46158</v>
      </c>
      <c r="C339" t="s">
        <v>28</v>
      </c>
      <c r="D339" t="s">
        <v>34</v>
      </c>
      <c r="E339" t="s">
        <v>19</v>
      </c>
      <c r="F339" s="3">
        <v>10</v>
      </c>
      <c r="G339" s="4">
        <v>3403</v>
      </c>
      <c r="H339" s="4">
        <v>34030</v>
      </c>
      <c r="I339" s="4">
        <v>26167.919999999998</v>
      </c>
      <c r="J339" s="4">
        <v>7862.08</v>
      </c>
      <c r="K339" t="s">
        <v>58</v>
      </c>
      <c r="L339" s="3">
        <f>(Table1[[#This Row],[Profit]]/Table1[[#This Row],[Sales_Amount]])*100</f>
        <v>23.103379371143109</v>
      </c>
      <c r="M339" s="4" t="str" cm="1">
        <f t="array" ref="M339">_xlfn.IFS(Table1[[#This Row],[Sales_Amount]]&gt;200000,"High",AND(Table1[[#This Row],[Sales_Amount]]&gt;100000,Table1[[#This Row],[Sales_Amount]]&lt;200000),"Medium",Table1[[#This Row],[Sales_Amount]]&lt;100000,"Low")</f>
        <v>Low</v>
      </c>
      <c r="N339" t="str">
        <f>TEXT(Table1[[#This Row],[Order_Date]],"MMMM")</f>
        <v>May</v>
      </c>
      <c r="O339">
        <f>YEAR(Table1[[#This Row],[Order_Date]])</f>
        <v>2026</v>
      </c>
    </row>
    <row r="340" spans="1:15" x14ac:dyDescent="0.3">
      <c r="A340" t="s">
        <v>371</v>
      </c>
      <c r="B340" s="1">
        <v>46159</v>
      </c>
      <c r="C340" t="s">
        <v>12</v>
      </c>
      <c r="D340" t="s">
        <v>56</v>
      </c>
      <c r="E340" t="s">
        <v>14</v>
      </c>
      <c r="F340" s="3">
        <v>2</v>
      </c>
      <c r="G340" s="4">
        <v>17456</v>
      </c>
      <c r="H340" s="4">
        <v>34912</v>
      </c>
      <c r="I340" s="4">
        <v>23272.35</v>
      </c>
      <c r="J340" s="4">
        <v>11639.65</v>
      </c>
      <c r="K340" t="s">
        <v>26</v>
      </c>
      <c r="L340" s="3">
        <f>(Table1[[#This Row],[Profit]]/Table1[[#This Row],[Sales_Amount]])*100</f>
        <v>33.339969065077909</v>
      </c>
      <c r="M340" s="4" t="str" cm="1">
        <f t="array" ref="M340">_xlfn.IFS(Table1[[#This Row],[Sales_Amount]]&gt;200000,"High",AND(Table1[[#This Row],[Sales_Amount]]&gt;100000,Table1[[#This Row],[Sales_Amount]]&lt;200000),"Medium",Table1[[#This Row],[Sales_Amount]]&lt;100000,"Low")</f>
        <v>Low</v>
      </c>
      <c r="N340" t="str">
        <f>TEXT(Table1[[#This Row],[Order_Date]],"MMMM")</f>
        <v>May</v>
      </c>
      <c r="O340">
        <f>YEAR(Table1[[#This Row],[Order_Date]])</f>
        <v>2026</v>
      </c>
    </row>
    <row r="341" spans="1:15" x14ac:dyDescent="0.3">
      <c r="A341" t="s">
        <v>372</v>
      </c>
      <c r="B341" s="1">
        <v>46160</v>
      </c>
      <c r="C341" t="s">
        <v>40</v>
      </c>
      <c r="D341" t="s">
        <v>18</v>
      </c>
      <c r="E341" t="s">
        <v>37</v>
      </c>
      <c r="F341" s="3">
        <v>10</v>
      </c>
      <c r="G341" s="4">
        <v>45748</v>
      </c>
      <c r="H341" s="4">
        <v>457480</v>
      </c>
      <c r="I341" s="4">
        <v>343173.93</v>
      </c>
      <c r="J341" s="4">
        <v>114306.07</v>
      </c>
      <c r="K341" t="s">
        <v>58</v>
      </c>
      <c r="L341" s="3">
        <f>(Table1[[#This Row],[Profit]]/Table1[[#This Row],[Sales_Amount]])*100</f>
        <v>24.986025618606281</v>
      </c>
      <c r="M341" s="4" t="str" cm="1">
        <f t="array" ref="M341">_xlfn.IFS(Table1[[#This Row],[Sales_Amount]]&gt;200000,"High",AND(Table1[[#This Row],[Sales_Amount]]&gt;100000,Table1[[#This Row],[Sales_Amount]]&lt;200000),"Medium",Table1[[#This Row],[Sales_Amount]]&lt;100000,"Low")</f>
        <v>High</v>
      </c>
      <c r="N341" t="str">
        <f>TEXT(Table1[[#This Row],[Order_Date]],"MMMM")</f>
        <v>May</v>
      </c>
      <c r="O341">
        <f>YEAR(Table1[[#This Row],[Order_Date]])</f>
        <v>2026</v>
      </c>
    </row>
    <row r="342" spans="1:15" x14ac:dyDescent="0.3">
      <c r="A342" t="s">
        <v>373</v>
      </c>
      <c r="B342" s="1">
        <v>46161</v>
      </c>
      <c r="C342" t="s">
        <v>12</v>
      </c>
      <c r="D342" t="s">
        <v>34</v>
      </c>
      <c r="E342" t="s">
        <v>32</v>
      </c>
      <c r="F342" s="3">
        <v>7</v>
      </c>
      <c r="G342" s="4">
        <v>6126</v>
      </c>
      <c r="H342" s="4">
        <v>42882</v>
      </c>
      <c r="I342" s="4">
        <v>27222.39</v>
      </c>
      <c r="J342" s="4">
        <v>15659.61</v>
      </c>
      <c r="K342" t="s">
        <v>26</v>
      </c>
      <c r="L342" s="3">
        <f>(Table1[[#This Row],[Profit]]/Table1[[#This Row],[Sales_Amount]])*100</f>
        <v>36.517909612424795</v>
      </c>
      <c r="M342" s="4" t="str" cm="1">
        <f t="array" ref="M342">_xlfn.IFS(Table1[[#This Row],[Sales_Amount]]&gt;200000,"High",AND(Table1[[#This Row],[Sales_Amount]]&gt;100000,Table1[[#This Row],[Sales_Amount]]&lt;200000),"Medium",Table1[[#This Row],[Sales_Amount]]&lt;100000,"Low")</f>
        <v>Low</v>
      </c>
      <c r="N342" t="str">
        <f>TEXT(Table1[[#This Row],[Order_Date]],"MMMM")</f>
        <v>May</v>
      </c>
      <c r="O342">
        <f>YEAR(Table1[[#This Row],[Order_Date]])</f>
        <v>2026</v>
      </c>
    </row>
    <row r="343" spans="1:15" x14ac:dyDescent="0.3">
      <c r="A343" t="s">
        <v>374</v>
      </c>
      <c r="B343" s="1">
        <v>46162</v>
      </c>
      <c r="C343" t="s">
        <v>28</v>
      </c>
      <c r="D343" t="s">
        <v>29</v>
      </c>
      <c r="E343" t="s">
        <v>37</v>
      </c>
      <c r="F343" s="3">
        <v>4</v>
      </c>
      <c r="G343" s="4">
        <v>34651</v>
      </c>
      <c r="H343" s="4">
        <v>138604</v>
      </c>
      <c r="I343" s="4">
        <v>103243.04</v>
      </c>
      <c r="J343" s="4">
        <v>35360.959999999999</v>
      </c>
      <c r="K343" t="s">
        <v>58</v>
      </c>
      <c r="L343" s="3">
        <f>(Table1[[#This Row],[Profit]]/Table1[[#This Row],[Sales_Amount]])*100</f>
        <v>25.512221869498713</v>
      </c>
      <c r="M343" s="4" t="str" cm="1">
        <f t="array" ref="M343">_xlfn.IFS(Table1[[#This Row],[Sales_Amount]]&gt;200000,"High",AND(Table1[[#This Row],[Sales_Amount]]&gt;100000,Table1[[#This Row],[Sales_Amount]]&lt;200000),"Medium",Table1[[#This Row],[Sales_Amount]]&lt;100000,"Low")</f>
        <v>Medium</v>
      </c>
      <c r="N343" t="str">
        <f>TEXT(Table1[[#This Row],[Order_Date]],"MMMM")</f>
        <v>May</v>
      </c>
      <c r="O343">
        <f>YEAR(Table1[[#This Row],[Order_Date]])</f>
        <v>2026</v>
      </c>
    </row>
    <row r="344" spans="1:15" x14ac:dyDescent="0.3">
      <c r="A344" t="s">
        <v>375</v>
      </c>
      <c r="B344" s="1">
        <v>46163</v>
      </c>
      <c r="C344" t="s">
        <v>17</v>
      </c>
      <c r="D344" t="s">
        <v>18</v>
      </c>
      <c r="E344" t="s">
        <v>37</v>
      </c>
      <c r="F344" s="3">
        <v>6</v>
      </c>
      <c r="G344" s="4">
        <v>4902</v>
      </c>
      <c r="H344" s="4">
        <v>29412</v>
      </c>
      <c r="I344" s="4">
        <v>20296.61</v>
      </c>
      <c r="J344" s="4">
        <v>9115.39</v>
      </c>
      <c r="K344" t="s">
        <v>26</v>
      </c>
      <c r="L344" s="3">
        <f>(Table1[[#This Row],[Profit]]/Table1[[#This Row],[Sales_Amount]])*100</f>
        <v>30.992078063375487</v>
      </c>
      <c r="M344" s="4" t="str" cm="1">
        <f t="array" ref="M344">_xlfn.IFS(Table1[[#This Row],[Sales_Amount]]&gt;200000,"High",AND(Table1[[#This Row],[Sales_Amount]]&gt;100000,Table1[[#This Row],[Sales_Amount]]&lt;200000),"Medium",Table1[[#This Row],[Sales_Amount]]&lt;100000,"Low")</f>
        <v>Low</v>
      </c>
      <c r="N344" t="str">
        <f>TEXT(Table1[[#This Row],[Order_Date]],"MMMM")</f>
        <v>May</v>
      </c>
      <c r="O344">
        <f>YEAR(Table1[[#This Row],[Order_Date]])</f>
        <v>2026</v>
      </c>
    </row>
    <row r="345" spans="1:15" x14ac:dyDescent="0.3">
      <c r="A345" t="s">
        <v>376</v>
      </c>
      <c r="B345" s="1">
        <v>46164</v>
      </c>
      <c r="C345" t="s">
        <v>12</v>
      </c>
      <c r="D345" t="s">
        <v>13</v>
      </c>
      <c r="E345" t="s">
        <v>14</v>
      </c>
      <c r="F345" s="3">
        <v>3</v>
      </c>
      <c r="G345" s="4">
        <v>49028</v>
      </c>
      <c r="H345" s="4">
        <v>147084</v>
      </c>
      <c r="I345" s="4">
        <v>99013.11</v>
      </c>
      <c r="J345" s="4">
        <v>48070.89</v>
      </c>
      <c r="K345" t="s">
        <v>26</v>
      </c>
      <c r="L345" s="3">
        <f>(Table1[[#This Row],[Profit]]/Table1[[#This Row],[Sales_Amount]])*100</f>
        <v>32.682609937178754</v>
      </c>
      <c r="M345" s="4" t="str" cm="1">
        <f t="array" ref="M345">_xlfn.IFS(Table1[[#This Row],[Sales_Amount]]&gt;200000,"High",AND(Table1[[#This Row],[Sales_Amount]]&gt;100000,Table1[[#This Row],[Sales_Amount]]&lt;200000),"Medium",Table1[[#This Row],[Sales_Amount]]&lt;100000,"Low")</f>
        <v>Medium</v>
      </c>
      <c r="N345" t="str">
        <f>TEXT(Table1[[#This Row],[Order_Date]],"MMMM")</f>
        <v>May</v>
      </c>
      <c r="O345">
        <f>YEAR(Table1[[#This Row],[Order_Date]])</f>
        <v>2026</v>
      </c>
    </row>
    <row r="346" spans="1:15" x14ac:dyDescent="0.3">
      <c r="A346" t="s">
        <v>377</v>
      </c>
      <c r="B346" s="1">
        <v>46165</v>
      </c>
      <c r="C346" t="s">
        <v>12</v>
      </c>
      <c r="D346" t="s">
        <v>13</v>
      </c>
      <c r="E346" t="s">
        <v>37</v>
      </c>
      <c r="F346" s="3">
        <v>8</v>
      </c>
      <c r="G346" s="4">
        <v>15694</v>
      </c>
      <c r="H346" s="4">
        <v>125552</v>
      </c>
      <c r="I346" s="4">
        <v>105379.15</v>
      </c>
      <c r="J346" s="4">
        <v>20172.849999999999</v>
      </c>
      <c r="K346" t="s">
        <v>58</v>
      </c>
      <c r="L346" s="3">
        <f>(Table1[[#This Row],[Profit]]/Table1[[#This Row],[Sales_Amount]])*100</f>
        <v>16.067326685357461</v>
      </c>
      <c r="M346" s="4" t="str" cm="1">
        <f t="array" ref="M346">_xlfn.IFS(Table1[[#This Row],[Sales_Amount]]&gt;200000,"High",AND(Table1[[#This Row],[Sales_Amount]]&gt;100000,Table1[[#This Row],[Sales_Amount]]&lt;200000),"Medium",Table1[[#This Row],[Sales_Amount]]&lt;100000,"Low")</f>
        <v>Medium</v>
      </c>
      <c r="N346" t="str">
        <f>TEXT(Table1[[#This Row],[Order_Date]],"MMMM")</f>
        <v>May</v>
      </c>
      <c r="O346">
        <f>YEAR(Table1[[#This Row],[Order_Date]])</f>
        <v>2026</v>
      </c>
    </row>
    <row r="347" spans="1:15" x14ac:dyDescent="0.3">
      <c r="A347" t="s">
        <v>378</v>
      </c>
      <c r="B347" s="1">
        <v>46166</v>
      </c>
      <c r="C347" t="s">
        <v>28</v>
      </c>
      <c r="D347" t="s">
        <v>21</v>
      </c>
      <c r="E347" t="s">
        <v>14</v>
      </c>
      <c r="F347" s="3">
        <v>10</v>
      </c>
      <c r="G347" s="4">
        <v>13431</v>
      </c>
      <c r="H347" s="4">
        <v>134310</v>
      </c>
      <c r="I347" s="4">
        <v>98700.73</v>
      </c>
      <c r="J347" s="4">
        <v>35609.269999999997</v>
      </c>
      <c r="K347" t="s">
        <v>15</v>
      </c>
      <c r="L347" s="3">
        <f>(Table1[[#This Row],[Profit]]/Table1[[#This Row],[Sales_Amount]])*100</f>
        <v>26.512746630928447</v>
      </c>
      <c r="M347" s="4" t="str" cm="1">
        <f t="array" ref="M347">_xlfn.IFS(Table1[[#This Row],[Sales_Amount]]&gt;200000,"High",AND(Table1[[#This Row],[Sales_Amount]]&gt;100000,Table1[[#This Row],[Sales_Amount]]&lt;200000),"Medium",Table1[[#This Row],[Sales_Amount]]&lt;100000,"Low")</f>
        <v>Medium</v>
      </c>
      <c r="N347" t="str">
        <f>TEXT(Table1[[#This Row],[Order_Date]],"MMMM")</f>
        <v>May</v>
      </c>
      <c r="O347">
        <f>YEAR(Table1[[#This Row],[Order_Date]])</f>
        <v>2026</v>
      </c>
    </row>
    <row r="348" spans="1:15" x14ac:dyDescent="0.3">
      <c r="A348" t="s">
        <v>379</v>
      </c>
      <c r="B348" s="1">
        <v>46167</v>
      </c>
      <c r="C348" t="s">
        <v>17</v>
      </c>
      <c r="D348" t="s">
        <v>29</v>
      </c>
      <c r="E348" t="s">
        <v>22</v>
      </c>
      <c r="F348" s="3">
        <v>4</v>
      </c>
      <c r="G348" s="4">
        <v>18741</v>
      </c>
      <c r="H348" s="4">
        <v>74964</v>
      </c>
      <c r="I348" s="4">
        <v>61897.599999999999</v>
      </c>
      <c r="J348" s="4">
        <v>13066.4</v>
      </c>
      <c r="K348" t="s">
        <v>23</v>
      </c>
      <c r="L348" s="3">
        <f>(Table1[[#This Row],[Profit]]/Table1[[#This Row],[Sales_Amount]])*100</f>
        <v>17.430233178592392</v>
      </c>
      <c r="M348" s="4" t="str" cm="1">
        <f t="array" ref="M348">_xlfn.IFS(Table1[[#This Row],[Sales_Amount]]&gt;200000,"High",AND(Table1[[#This Row],[Sales_Amount]]&gt;100000,Table1[[#This Row],[Sales_Amount]]&lt;200000),"Medium",Table1[[#This Row],[Sales_Amount]]&lt;100000,"Low")</f>
        <v>Low</v>
      </c>
      <c r="N348" t="str">
        <f>TEXT(Table1[[#This Row],[Order_Date]],"MMMM")</f>
        <v>May</v>
      </c>
      <c r="O348">
        <f>YEAR(Table1[[#This Row],[Order_Date]])</f>
        <v>2026</v>
      </c>
    </row>
    <row r="349" spans="1:15" x14ac:dyDescent="0.3">
      <c r="A349" t="s">
        <v>380</v>
      </c>
      <c r="B349" s="1">
        <v>46168</v>
      </c>
      <c r="C349" t="s">
        <v>28</v>
      </c>
      <c r="D349" t="s">
        <v>34</v>
      </c>
      <c r="E349" t="s">
        <v>32</v>
      </c>
      <c r="F349" s="3">
        <v>4</v>
      </c>
      <c r="G349" s="4">
        <v>30486</v>
      </c>
      <c r="H349" s="4">
        <v>121944</v>
      </c>
      <c r="I349" s="4">
        <v>77335.240000000005</v>
      </c>
      <c r="J349" s="4">
        <v>44608.76</v>
      </c>
      <c r="K349" t="s">
        <v>58</v>
      </c>
      <c r="L349" s="3">
        <f>(Table1[[#This Row],[Profit]]/Table1[[#This Row],[Sales_Amount]])*100</f>
        <v>36.5813488158499</v>
      </c>
      <c r="M349" s="4" t="str" cm="1">
        <f t="array" ref="M349">_xlfn.IFS(Table1[[#This Row],[Sales_Amount]]&gt;200000,"High",AND(Table1[[#This Row],[Sales_Amount]]&gt;100000,Table1[[#This Row],[Sales_Amount]]&lt;200000),"Medium",Table1[[#This Row],[Sales_Amount]]&lt;100000,"Low")</f>
        <v>Medium</v>
      </c>
      <c r="N349" t="str">
        <f>TEXT(Table1[[#This Row],[Order_Date]],"MMMM")</f>
        <v>May</v>
      </c>
      <c r="O349">
        <f>YEAR(Table1[[#This Row],[Order_Date]])</f>
        <v>2026</v>
      </c>
    </row>
    <row r="350" spans="1:15" x14ac:dyDescent="0.3">
      <c r="A350" t="s">
        <v>381</v>
      </c>
      <c r="B350" s="1">
        <v>46169</v>
      </c>
      <c r="C350" t="s">
        <v>28</v>
      </c>
      <c r="D350" t="s">
        <v>13</v>
      </c>
      <c r="E350" t="s">
        <v>37</v>
      </c>
      <c r="F350" s="3">
        <v>10</v>
      </c>
      <c r="G350" s="4">
        <v>7986</v>
      </c>
      <c r="H350" s="4">
        <v>79860</v>
      </c>
      <c r="I350" s="4">
        <v>56251.58</v>
      </c>
      <c r="J350" s="4">
        <v>23608.42</v>
      </c>
      <c r="K350" t="s">
        <v>26</v>
      </c>
      <c r="L350" s="3">
        <f>(Table1[[#This Row],[Profit]]/Table1[[#This Row],[Sales_Amount]])*100</f>
        <v>29.56225895316804</v>
      </c>
      <c r="M350" s="4" t="str" cm="1">
        <f t="array" ref="M350">_xlfn.IFS(Table1[[#This Row],[Sales_Amount]]&gt;200000,"High",AND(Table1[[#This Row],[Sales_Amount]]&gt;100000,Table1[[#This Row],[Sales_Amount]]&lt;200000),"Medium",Table1[[#This Row],[Sales_Amount]]&lt;100000,"Low")</f>
        <v>Low</v>
      </c>
      <c r="N350" t="str">
        <f>TEXT(Table1[[#This Row],[Order_Date]],"MMMM")</f>
        <v>May</v>
      </c>
      <c r="O350">
        <f>YEAR(Table1[[#This Row],[Order_Date]])</f>
        <v>2026</v>
      </c>
    </row>
    <row r="351" spans="1:15" x14ac:dyDescent="0.3">
      <c r="A351" t="s">
        <v>382</v>
      </c>
      <c r="B351" s="1">
        <v>46170</v>
      </c>
      <c r="C351" t="s">
        <v>17</v>
      </c>
      <c r="D351" t="s">
        <v>51</v>
      </c>
      <c r="E351" t="s">
        <v>25</v>
      </c>
      <c r="F351" s="3">
        <v>2</v>
      </c>
      <c r="G351" s="4">
        <v>44547</v>
      </c>
      <c r="H351" s="4">
        <v>89094</v>
      </c>
      <c r="I351" s="4">
        <v>57036.58</v>
      </c>
      <c r="J351" s="4">
        <v>32057.42</v>
      </c>
      <c r="K351" t="s">
        <v>26</v>
      </c>
      <c r="L351" s="3">
        <f>(Table1[[#This Row],[Profit]]/Table1[[#This Row],[Sales_Amount]])*100</f>
        <v>35.98157002716232</v>
      </c>
      <c r="M351" s="4" t="str" cm="1">
        <f t="array" ref="M351">_xlfn.IFS(Table1[[#This Row],[Sales_Amount]]&gt;200000,"High",AND(Table1[[#This Row],[Sales_Amount]]&gt;100000,Table1[[#This Row],[Sales_Amount]]&lt;200000),"Medium",Table1[[#This Row],[Sales_Amount]]&lt;100000,"Low")</f>
        <v>Low</v>
      </c>
      <c r="N351" t="str">
        <f>TEXT(Table1[[#This Row],[Order_Date]],"MMMM")</f>
        <v>May</v>
      </c>
      <c r="O351">
        <f>YEAR(Table1[[#This Row],[Order_Date]])</f>
        <v>2026</v>
      </c>
    </row>
    <row r="352" spans="1:15" x14ac:dyDescent="0.3">
      <c r="A352" t="s">
        <v>383</v>
      </c>
      <c r="B352" s="1">
        <v>46171</v>
      </c>
      <c r="C352" t="s">
        <v>28</v>
      </c>
      <c r="D352" t="s">
        <v>21</v>
      </c>
      <c r="E352" t="s">
        <v>22</v>
      </c>
      <c r="F352" s="3">
        <v>6</v>
      </c>
      <c r="G352" s="4">
        <v>45945</v>
      </c>
      <c r="H352" s="4">
        <v>275670</v>
      </c>
      <c r="I352" s="4">
        <v>177092.49</v>
      </c>
      <c r="J352" s="4">
        <v>98577.51</v>
      </c>
      <c r="K352" t="s">
        <v>23</v>
      </c>
      <c r="L352" s="3">
        <f>(Table1[[#This Row],[Profit]]/Table1[[#This Row],[Sales_Amount]])*100</f>
        <v>35.759244749156601</v>
      </c>
      <c r="M352" s="4" t="str" cm="1">
        <f t="array" ref="M352">_xlfn.IFS(Table1[[#This Row],[Sales_Amount]]&gt;200000,"High",AND(Table1[[#This Row],[Sales_Amount]]&gt;100000,Table1[[#This Row],[Sales_Amount]]&lt;200000),"Medium",Table1[[#This Row],[Sales_Amount]]&lt;100000,"Low")</f>
        <v>High</v>
      </c>
      <c r="N352" t="str">
        <f>TEXT(Table1[[#This Row],[Order_Date]],"MMMM")</f>
        <v>May</v>
      </c>
      <c r="O352">
        <f>YEAR(Table1[[#This Row],[Order_Date]])</f>
        <v>2026</v>
      </c>
    </row>
    <row r="353" spans="1:15" x14ac:dyDescent="0.3">
      <c r="A353" t="s">
        <v>384</v>
      </c>
      <c r="B353" s="1">
        <v>46172</v>
      </c>
      <c r="C353" t="s">
        <v>12</v>
      </c>
      <c r="D353" t="s">
        <v>13</v>
      </c>
      <c r="E353" t="s">
        <v>37</v>
      </c>
      <c r="F353" s="3">
        <v>7</v>
      </c>
      <c r="G353" s="4">
        <v>12673</v>
      </c>
      <c r="H353" s="4">
        <v>88711</v>
      </c>
      <c r="I353" s="4">
        <v>66178.5</v>
      </c>
      <c r="J353" s="4">
        <v>22532.5</v>
      </c>
      <c r="K353" t="s">
        <v>58</v>
      </c>
      <c r="L353" s="3">
        <f>(Table1[[#This Row],[Profit]]/Table1[[#This Row],[Sales_Amount]])*100</f>
        <v>25.399894037943433</v>
      </c>
      <c r="M353" s="4" t="str" cm="1">
        <f t="array" ref="M353">_xlfn.IFS(Table1[[#This Row],[Sales_Amount]]&gt;200000,"High",AND(Table1[[#This Row],[Sales_Amount]]&gt;100000,Table1[[#This Row],[Sales_Amount]]&lt;200000),"Medium",Table1[[#This Row],[Sales_Amount]]&lt;100000,"Low")</f>
        <v>Low</v>
      </c>
      <c r="N353" t="str">
        <f>TEXT(Table1[[#This Row],[Order_Date]],"MMMM")</f>
        <v>May</v>
      </c>
      <c r="O353">
        <f>YEAR(Table1[[#This Row],[Order_Date]])</f>
        <v>2026</v>
      </c>
    </row>
    <row r="354" spans="1:15" x14ac:dyDescent="0.3">
      <c r="A354" t="s">
        <v>385</v>
      </c>
      <c r="B354" s="1">
        <v>46173</v>
      </c>
      <c r="C354" t="s">
        <v>17</v>
      </c>
      <c r="D354" t="s">
        <v>34</v>
      </c>
      <c r="E354" t="s">
        <v>22</v>
      </c>
      <c r="F354" s="3">
        <v>3</v>
      </c>
      <c r="G354" s="4">
        <v>21116</v>
      </c>
      <c r="H354" s="4">
        <v>63348</v>
      </c>
      <c r="I354" s="4">
        <v>54010.22</v>
      </c>
      <c r="J354" s="4">
        <v>9337.7800000000007</v>
      </c>
      <c r="K354" t="s">
        <v>15</v>
      </c>
      <c r="L354" s="3">
        <f>(Table1[[#This Row],[Profit]]/Table1[[#This Row],[Sales_Amount]])*100</f>
        <v>14.740449580097243</v>
      </c>
      <c r="M354" s="4" t="str" cm="1">
        <f t="array" ref="M354">_xlfn.IFS(Table1[[#This Row],[Sales_Amount]]&gt;200000,"High",AND(Table1[[#This Row],[Sales_Amount]]&gt;100000,Table1[[#This Row],[Sales_Amount]]&lt;200000),"Medium",Table1[[#This Row],[Sales_Amount]]&lt;100000,"Low")</f>
        <v>Low</v>
      </c>
      <c r="N354" t="str">
        <f>TEXT(Table1[[#This Row],[Order_Date]],"MMMM")</f>
        <v>May</v>
      </c>
      <c r="O354">
        <f>YEAR(Table1[[#This Row],[Order_Date]])</f>
        <v>2026</v>
      </c>
    </row>
    <row r="355" spans="1:15" x14ac:dyDescent="0.3">
      <c r="A355" t="s">
        <v>386</v>
      </c>
      <c r="B355" s="1">
        <v>46174</v>
      </c>
      <c r="C355" t="s">
        <v>28</v>
      </c>
      <c r="D355" t="s">
        <v>21</v>
      </c>
      <c r="E355" t="s">
        <v>22</v>
      </c>
      <c r="F355" s="3">
        <v>4</v>
      </c>
      <c r="G355" s="4">
        <v>25662</v>
      </c>
      <c r="H355" s="4">
        <v>102648</v>
      </c>
      <c r="I355" s="4">
        <v>91269.34</v>
      </c>
      <c r="J355" s="4">
        <v>11378.66</v>
      </c>
      <c r="K355" t="s">
        <v>58</v>
      </c>
      <c r="L355" s="3">
        <f>(Table1[[#This Row],[Profit]]/Table1[[#This Row],[Sales_Amount]])*100</f>
        <v>11.085125867040761</v>
      </c>
      <c r="M355" s="4" t="str" cm="1">
        <f t="array" ref="M355">_xlfn.IFS(Table1[[#This Row],[Sales_Amount]]&gt;200000,"High",AND(Table1[[#This Row],[Sales_Amount]]&gt;100000,Table1[[#This Row],[Sales_Amount]]&lt;200000),"Medium",Table1[[#This Row],[Sales_Amount]]&lt;100000,"Low")</f>
        <v>Medium</v>
      </c>
      <c r="N355" t="str">
        <f>TEXT(Table1[[#This Row],[Order_Date]],"MMMM")</f>
        <v>June</v>
      </c>
      <c r="O355">
        <f>YEAR(Table1[[#This Row],[Order_Date]])</f>
        <v>2026</v>
      </c>
    </row>
    <row r="356" spans="1:15" x14ac:dyDescent="0.3">
      <c r="A356" t="s">
        <v>387</v>
      </c>
      <c r="B356" s="1">
        <v>46175</v>
      </c>
      <c r="C356" t="s">
        <v>17</v>
      </c>
      <c r="D356" t="s">
        <v>51</v>
      </c>
      <c r="E356" t="s">
        <v>19</v>
      </c>
      <c r="F356" s="3">
        <v>8</v>
      </c>
      <c r="G356" s="4">
        <v>32527</v>
      </c>
      <c r="H356" s="4">
        <v>260216</v>
      </c>
      <c r="I356" s="4">
        <v>169186.21</v>
      </c>
      <c r="J356" s="4">
        <v>91029.79</v>
      </c>
      <c r="K356" t="s">
        <v>26</v>
      </c>
      <c r="L356" s="3">
        <f>(Table1[[#This Row],[Profit]]/Table1[[#This Row],[Sales_Amount]])*100</f>
        <v>34.982395394595258</v>
      </c>
      <c r="M356" s="4" t="str" cm="1">
        <f t="array" ref="M356">_xlfn.IFS(Table1[[#This Row],[Sales_Amount]]&gt;200000,"High",AND(Table1[[#This Row],[Sales_Amount]]&gt;100000,Table1[[#This Row],[Sales_Amount]]&lt;200000),"Medium",Table1[[#This Row],[Sales_Amount]]&lt;100000,"Low")</f>
        <v>High</v>
      </c>
      <c r="N356" t="str">
        <f>TEXT(Table1[[#This Row],[Order_Date]],"MMMM")</f>
        <v>June</v>
      </c>
      <c r="O356">
        <f>YEAR(Table1[[#This Row],[Order_Date]])</f>
        <v>2026</v>
      </c>
    </row>
    <row r="357" spans="1:15" x14ac:dyDescent="0.3">
      <c r="A357" t="s">
        <v>388</v>
      </c>
      <c r="B357" s="1">
        <v>46176</v>
      </c>
      <c r="C357" t="s">
        <v>28</v>
      </c>
      <c r="D357" t="s">
        <v>56</v>
      </c>
      <c r="E357" t="s">
        <v>32</v>
      </c>
      <c r="F357" s="3">
        <v>4</v>
      </c>
      <c r="G357" s="4">
        <v>35732</v>
      </c>
      <c r="H357" s="4">
        <v>142928</v>
      </c>
      <c r="I357" s="4">
        <v>98134.52</v>
      </c>
      <c r="J357" s="4">
        <v>44793.48</v>
      </c>
      <c r="K357" t="s">
        <v>15</v>
      </c>
      <c r="L357" s="3">
        <f>(Table1[[#This Row],[Profit]]/Table1[[#This Row],[Sales_Amount]])*100</f>
        <v>31.339891413858727</v>
      </c>
      <c r="M357" s="4" t="str" cm="1">
        <f t="array" ref="M357">_xlfn.IFS(Table1[[#This Row],[Sales_Amount]]&gt;200000,"High",AND(Table1[[#This Row],[Sales_Amount]]&gt;100000,Table1[[#This Row],[Sales_Amount]]&lt;200000),"Medium",Table1[[#This Row],[Sales_Amount]]&lt;100000,"Low")</f>
        <v>Medium</v>
      </c>
      <c r="N357" t="str">
        <f>TEXT(Table1[[#This Row],[Order_Date]],"MMMM")</f>
        <v>June</v>
      </c>
      <c r="O357">
        <f>YEAR(Table1[[#This Row],[Order_Date]])</f>
        <v>2026</v>
      </c>
    </row>
    <row r="358" spans="1:15" x14ac:dyDescent="0.3">
      <c r="A358" t="s">
        <v>389</v>
      </c>
      <c r="B358" s="1">
        <v>46177</v>
      </c>
      <c r="C358" t="s">
        <v>40</v>
      </c>
      <c r="D358" t="s">
        <v>18</v>
      </c>
      <c r="E358" t="s">
        <v>14</v>
      </c>
      <c r="F358" s="3">
        <v>5</v>
      </c>
      <c r="G358" s="4">
        <v>36093</v>
      </c>
      <c r="H358" s="4">
        <v>180465</v>
      </c>
      <c r="I358" s="4">
        <v>152851.12</v>
      </c>
      <c r="J358" s="4">
        <v>27613.88</v>
      </c>
      <c r="K358" t="s">
        <v>58</v>
      </c>
      <c r="L358" s="3">
        <f>(Table1[[#This Row],[Profit]]/Table1[[#This Row],[Sales_Amount]])*100</f>
        <v>15.301515529327018</v>
      </c>
      <c r="M358" s="4" t="str" cm="1">
        <f t="array" ref="M358">_xlfn.IFS(Table1[[#This Row],[Sales_Amount]]&gt;200000,"High",AND(Table1[[#This Row],[Sales_Amount]]&gt;100000,Table1[[#This Row],[Sales_Amount]]&lt;200000),"Medium",Table1[[#This Row],[Sales_Amount]]&lt;100000,"Low")</f>
        <v>Medium</v>
      </c>
      <c r="N358" t="str">
        <f>TEXT(Table1[[#This Row],[Order_Date]],"MMMM")</f>
        <v>June</v>
      </c>
      <c r="O358">
        <f>YEAR(Table1[[#This Row],[Order_Date]])</f>
        <v>2026</v>
      </c>
    </row>
    <row r="359" spans="1:15" x14ac:dyDescent="0.3">
      <c r="A359" t="s">
        <v>390</v>
      </c>
      <c r="B359" s="1">
        <v>46178</v>
      </c>
      <c r="C359" t="s">
        <v>12</v>
      </c>
      <c r="D359" t="s">
        <v>44</v>
      </c>
      <c r="E359" t="s">
        <v>22</v>
      </c>
      <c r="F359" s="3">
        <v>7</v>
      </c>
      <c r="G359" s="4">
        <v>7211</v>
      </c>
      <c r="H359" s="4">
        <v>50477</v>
      </c>
      <c r="I359" s="4">
        <v>41431.35</v>
      </c>
      <c r="J359" s="4">
        <v>9045.65</v>
      </c>
      <c r="K359" t="s">
        <v>15</v>
      </c>
      <c r="L359" s="3">
        <f>(Table1[[#This Row],[Profit]]/Table1[[#This Row],[Sales_Amount]])*100</f>
        <v>17.920339956812011</v>
      </c>
      <c r="M359" s="4" t="str" cm="1">
        <f t="array" ref="M359">_xlfn.IFS(Table1[[#This Row],[Sales_Amount]]&gt;200000,"High",AND(Table1[[#This Row],[Sales_Amount]]&gt;100000,Table1[[#This Row],[Sales_Amount]]&lt;200000),"Medium",Table1[[#This Row],[Sales_Amount]]&lt;100000,"Low")</f>
        <v>Low</v>
      </c>
      <c r="N359" t="str">
        <f>TEXT(Table1[[#This Row],[Order_Date]],"MMMM")</f>
        <v>June</v>
      </c>
      <c r="O359">
        <f>YEAR(Table1[[#This Row],[Order_Date]])</f>
        <v>2026</v>
      </c>
    </row>
    <row r="360" spans="1:15" x14ac:dyDescent="0.3">
      <c r="A360" t="s">
        <v>391</v>
      </c>
      <c r="B360" s="1">
        <v>46179</v>
      </c>
      <c r="C360" t="s">
        <v>17</v>
      </c>
      <c r="D360" t="s">
        <v>51</v>
      </c>
      <c r="E360" t="s">
        <v>32</v>
      </c>
      <c r="F360" s="3">
        <v>6</v>
      </c>
      <c r="G360" s="4">
        <v>6200</v>
      </c>
      <c r="H360" s="4">
        <v>37200</v>
      </c>
      <c r="I360" s="4">
        <v>27220.02</v>
      </c>
      <c r="J360" s="4">
        <v>9979.98</v>
      </c>
      <c r="K360" t="s">
        <v>23</v>
      </c>
      <c r="L360" s="3">
        <f>(Table1[[#This Row],[Profit]]/Table1[[#This Row],[Sales_Amount]])*100</f>
        <v>26.827903225806448</v>
      </c>
      <c r="M360" s="4" t="str" cm="1">
        <f t="array" ref="M360">_xlfn.IFS(Table1[[#This Row],[Sales_Amount]]&gt;200000,"High",AND(Table1[[#This Row],[Sales_Amount]]&gt;100000,Table1[[#This Row],[Sales_Amount]]&lt;200000),"Medium",Table1[[#This Row],[Sales_Amount]]&lt;100000,"Low")</f>
        <v>Low</v>
      </c>
      <c r="N360" t="str">
        <f>TEXT(Table1[[#This Row],[Order_Date]],"MMMM")</f>
        <v>June</v>
      </c>
      <c r="O360">
        <f>YEAR(Table1[[#This Row],[Order_Date]])</f>
        <v>2026</v>
      </c>
    </row>
    <row r="361" spans="1:15" x14ac:dyDescent="0.3">
      <c r="A361" t="s">
        <v>392</v>
      </c>
      <c r="B361" s="1">
        <v>46180</v>
      </c>
      <c r="C361" t="s">
        <v>28</v>
      </c>
      <c r="D361" t="s">
        <v>13</v>
      </c>
      <c r="E361" t="s">
        <v>19</v>
      </c>
      <c r="F361" s="3">
        <v>6</v>
      </c>
      <c r="G361" s="4">
        <v>47079</v>
      </c>
      <c r="H361" s="4">
        <v>282474</v>
      </c>
      <c r="I361" s="4">
        <v>221199.33</v>
      </c>
      <c r="J361" s="4">
        <v>61274.67</v>
      </c>
      <c r="K361" t="s">
        <v>23</v>
      </c>
      <c r="L361" s="3">
        <f>(Table1[[#This Row],[Profit]]/Table1[[#This Row],[Sales_Amount]])*100</f>
        <v>21.69214511778075</v>
      </c>
      <c r="M361" s="4" t="str" cm="1">
        <f t="array" ref="M361">_xlfn.IFS(Table1[[#This Row],[Sales_Amount]]&gt;200000,"High",AND(Table1[[#This Row],[Sales_Amount]]&gt;100000,Table1[[#This Row],[Sales_Amount]]&lt;200000),"Medium",Table1[[#This Row],[Sales_Amount]]&lt;100000,"Low")</f>
        <v>High</v>
      </c>
      <c r="N361" t="str">
        <f>TEXT(Table1[[#This Row],[Order_Date]],"MMMM")</f>
        <v>June</v>
      </c>
      <c r="O361">
        <f>YEAR(Table1[[#This Row],[Order_Date]])</f>
        <v>2026</v>
      </c>
    </row>
    <row r="362" spans="1:15" x14ac:dyDescent="0.3">
      <c r="A362" t="s">
        <v>393</v>
      </c>
      <c r="B362" s="1">
        <v>46181</v>
      </c>
      <c r="C362" t="s">
        <v>40</v>
      </c>
      <c r="D362" t="s">
        <v>13</v>
      </c>
      <c r="E362" t="s">
        <v>22</v>
      </c>
      <c r="F362" s="3">
        <v>1</v>
      </c>
      <c r="G362" s="4">
        <v>37860</v>
      </c>
      <c r="H362" s="4">
        <v>37860</v>
      </c>
      <c r="I362" s="4">
        <v>26700.560000000001</v>
      </c>
      <c r="J362" s="4">
        <v>11159.44</v>
      </c>
      <c r="K362" t="s">
        <v>26</v>
      </c>
      <c r="L362" s="3">
        <f>(Table1[[#This Row],[Profit]]/Table1[[#This Row],[Sales_Amount]])*100</f>
        <v>29.475541468568412</v>
      </c>
      <c r="M362" s="4" t="str" cm="1">
        <f t="array" ref="M362">_xlfn.IFS(Table1[[#This Row],[Sales_Amount]]&gt;200000,"High",AND(Table1[[#This Row],[Sales_Amount]]&gt;100000,Table1[[#This Row],[Sales_Amount]]&lt;200000),"Medium",Table1[[#This Row],[Sales_Amount]]&lt;100000,"Low")</f>
        <v>Low</v>
      </c>
      <c r="N362" t="str">
        <f>TEXT(Table1[[#This Row],[Order_Date]],"MMMM")</f>
        <v>June</v>
      </c>
      <c r="O362">
        <f>YEAR(Table1[[#This Row],[Order_Date]])</f>
        <v>2026</v>
      </c>
    </row>
    <row r="363" spans="1:15" x14ac:dyDescent="0.3">
      <c r="A363" t="s">
        <v>394</v>
      </c>
      <c r="B363" s="1">
        <v>46182</v>
      </c>
      <c r="C363" t="s">
        <v>17</v>
      </c>
      <c r="D363" t="s">
        <v>13</v>
      </c>
      <c r="E363" t="s">
        <v>32</v>
      </c>
      <c r="F363" s="3">
        <v>5</v>
      </c>
      <c r="G363" s="4">
        <v>38034</v>
      </c>
      <c r="H363" s="4">
        <v>190170</v>
      </c>
      <c r="I363" s="4">
        <v>129354.19</v>
      </c>
      <c r="J363" s="4">
        <v>60815.81</v>
      </c>
      <c r="K363" t="s">
        <v>58</v>
      </c>
      <c r="L363" s="3">
        <f>(Table1[[#This Row],[Profit]]/Table1[[#This Row],[Sales_Amount]])*100</f>
        <v>31.979707630015248</v>
      </c>
      <c r="M363" s="4" t="str" cm="1">
        <f t="array" ref="M363">_xlfn.IFS(Table1[[#This Row],[Sales_Amount]]&gt;200000,"High",AND(Table1[[#This Row],[Sales_Amount]]&gt;100000,Table1[[#This Row],[Sales_Amount]]&lt;200000),"Medium",Table1[[#This Row],[Sales_Amount]]&lt;100000,"Low")</f>
        <v>Medium</v>
      </c>
      <c r="N363" t="str">
        <f>TEXT(Table1[[#This Row],[Order_Date]],"MMMM")</f>
        <v>June</v>
      </c>
      <c r="O363">
        <f>YEAR(Table1[[#This Row],[Order_Date]])</f>
        <v>2026</v>
      </c>
    </row>
    <row r="364" spans="1:15" x14ac:dyDescent="0.3">
      <c r="A364" t="s">
        <v>395</v>
      </c>
      <c r="B364" s="1">
        <v>46183</v>
      </c>
      <c r="C364" t="s">
        <v>12</v>
      </c>
      <c r="D364" t="s">
        <v>13</v>
      </c>
      <c r="E364" t="s">
        <v>32</v>
      </c>
      <c r="F364" s="3">
        <v>3</v>
      </c>
      <c r="G364" s="4">
        <v>46468</v>
      </c>
      <c r="H364" s="4">
        <v>139404</v>
      </c>
      <c r="I364" s="4">
        <v>119862.85</v>
      </c>
      <c r="J364" s="4">
        <v>19541.150000000001</v>
      </c>
      <c r="K364" t="s">
        <v>26</v>
      </c>
      <c r="L364" s="3">
        <f>(Table1[[#This Row],[Profit]]/Table1[[#This Row],[Sales_Amount]])*100</f>
        <v>14.017639379070904</v>
      </c>
      <c r="M364" s="4" t="str" cm="1">
        <f t="array" ref="M364">_xlfn.IFS(Table1[[#This Row],[Sales_Amount]]&gt;200000,"High",AND(Table1[[#This Row],[Sales_Amount]]&gt;100000,Table1[[#This Row],[Sales_Amount]]&lt;200000),"Medium",Table1[[#This Row],[Sales_Amount]]&lt;100000,"Low")</f>
        <v>Medium</v>
      </c>
      <c r="N364" t="str">
        <f>TEXT(Table1[[#This Row],[Order_Date]],"MMMM")</f>
        <v>June</v>
      </c>
      <c r="O364">
        <f>YEAR(Table1[[#This Row],[Order_Date]])</f>
        <v>2026</v>
      </c>
    </row>
    <row r="365" spans="1:15" x14ac:dyDescent="0.3">
      <c r="A365" t="s">
        <v>396</v>
      </c>
      <c r="B365" s="1">
        <v>46184</v>
      </c>
      <c r="C365" t="s">
        <v>40</v>
      </c>
      <c r="D365" t="s">
        <v>21</v>
      </c>
      <c r="E365" t="s">
        <v>19</v>
      </c>
      <c r="F365" s="3">
        <v>7</v>
      </c>
      <c r="G365" s="4">
        <v>32577</v>
      </c>
      <c r="H365" s="4">
        <v>228039</v>
      </c>
      <c r="I365" s="4">
        <v>146549.6</v>
      </c>
      <c r="J365" s="4">
        <v>81489.399999999994</v>
      </c>
      <c r="K365" t="s">
        <v>58</v>
      </c>
      <c r="L365" s="3">
        <f>(Table1[[#This Row],[Profit]]/Table1[[#This Row],[Sales_Amount]])*100</f>
        <v>35.734852371743422</v>
      </c>
      <c r="M365" s="4" t="str" cm="1">
        <f t="array" ref="M365">_xlfn.IFS(Table1[[#This Row],[Sales_Amount]]&gt;200000,"High",AND(Table1[[#This Row],[Sales_Amount]]&gt;100000,Table1[[#This Row],[Sales_Amount]]&lt;200000),"Medium",Table1[[#This Row],[Sales_Amount]]&lt;100000,"Low")</f>
        <v>High</v>
      </c>
      <c r="N365" t="str">
        <f>TEXT(Table1[[#This Row],[Order_Date]],"MMMM")</f>
        <v>June</v>
      </c>
      <c r="O365">
        <f>YEAR(Table1[[#This Row],[Order_Date]])</f>
        <v>2026</v>
      </c>
    </row>
    <row r="366" spans="1:15" x14ac:dyDescent="0.3">
      <c r="A366" t="s">
        <v>397</v>
      </c>
      <c r="B366" s="1">
        <v>46185</v>
      </c>
      <c r="C366" t="s">
        <v>40</v>
      </c>
      <c r="D366" t="s">
        <v>34</v>
      </c>
      <c r="E366" t="s">
        <v>14</v>
      </c>
      <c r="F366" s="3">
        <v>2</v>
      </c>
      <c r="G366" s="4">
        <v>26901</v>
      </c>
      <c r="H366" s="4">
        <v>53802</v>
      </c>
      <c r="I366" s="4">
        <v>40603.51</v>
      </c>
      <c r="J366" s="4">
        <v>13198.49</v>
      </c>
      <c r="K366" t="s">
        <v>58</v>
      </c>
      <c r="L366" s="3">
        <f>(Table1[[#This Row],[Profit]]/Table1[[#This Row],[Sales_Amount]])*100</f>
        <v>24.531597338388909</v>
      </c>
      <c r="M366" s="4" t="str" cm="1">
        <f t="array" ref="M366">_xlfn.IFS(Table1[[#This Row],[Sales_Amount]]&gt;200000,"High",AND(Table1[[#This Row],[Sales_Amount]]&gt;100000,Table1[[#This Row],[Sales_Amount]]&lt;200000),"Medium",Table1[[#This Row],[Sales_Amount]]&lt;100000,"Low")</f>
        <v>Low</v>
      </c>
      <c r="N366" t="str">
        <f>TEXT(Table1[[#This Row],[Order_Date]],"MMMM")</f>
        <v>June</v>
      </c>
      <c r="O366">
        <f>YEAR(Table1[[#This Row],[Order_Date]])</f>
        <v>2026</v>
      </c>
    </row>
    <row r="367" spans="1:15" x14ac:dyDescent="0.3">
      <c r="A367" t="s">
        <v>398</v>
      </c>
      <c r="B367" s="1">
        <v>46186</v>
      </c>
      <c r="C367" t="s">
        <v>17</v>
      </c>
      <c r="D367" t="s">
        <v>56</v>
      </c>
      <c r="E367" t="s">
        <v>32</v>
      </c>
      <c r="F367" s="3">
        <v>10</v>
      </c>
      <c r="G367" s="4">
        <v>662</v>
      </c>
      <c r="H367" s="4">
        <v>6620</v>
      </c>
      <c r="I367" s="4">
        <v>5697.65</v>
      </c>
      <c r="J367" s="4">
        <v>922.35</v>
      </c>
      <c r="K367" t="s">
        <v>26</v>
      </c>
      <c r="L367" s="3">
        <f>(Table1[[#This Row],[Profit]]/Table1[[#This Row],[Sales_Amount]])*100</f>
        <v>13.932779456193353</v>
      </c>
      <c r="M367" s="4" t="str" cm="1">
        <f t="array" ref="M367">_xlfn.IFS(Table1[[#This Row],[Sales_Amount]]&gt;200000,"High",AND(Table1[[#This Row],[Sales_Amount]]&gt;100000,Table1[[#This Row],[Sales_Amount]]&lt;200000),"Medium",Table1[[#This Row],[Sales_Amount]]&lt;100000,"Low")</f>
        <v>Low</v>
      </c>
      <c r="N367" t="str">
        <f>TEXT(Table1[[#This Row],[Order_Date]],"MMMM")</f>
        <v>June</v>
      </c>
      <c r="O367">
        <f>YEAR(Table1[[#This Row],[Order_Date]])</f>
        <v>2026</v>
      </c>
    </row>
    <row r="368" spans="1:15" x14ac:dyDescent="0.3">
      <c r="A368" t="s">
        <v>399</v>
      </c>
      <c r="B368" s="1">
        <v>46187</v>
      </c>
      <c r="C368" t="s">
        <v>12</v>
      </c>
      <c r="D368" t="s">
        <v>56</v>
      </c>
      <c r="E368" t="s">
        <v>25</v>
      </c>
      <c r="F368" s="3">
        <v>7</v>
      </c>
      <c r="G368" s="4">
        <v>14775</v>
      </c>
      <c r="H368" s="4">
        <v>103425</v>
      </c>
      <c r="I368" s="4">
        <v>92093.61</v>
      </c>
      <c r="J368" s="4">
        <v>11331.39</v>
      </c>
      <c r="K368" t="s">
        <v>26</v>
      </c>
      <c r="L368" s="3">
        <f>(Table1[[#This Row],[Profit]]/Table1[[#This Row],[Sales_Amount]])*100</f>
        <v>10.956142131979695</v>
      </c>
      <c r="M368" s="4" t="str" cm="1">
        <f t="array" ref="M368">_xlfn.IFS(Table1[[#This Row],[Sales_Amount]]&gt;200000,"High",AND(Table1[[#This Row],[Sales_Amount]]&gt;100000,Table1[[#This Row],[Sales_Amount]]&lt;200000),"Medium",Table1[[#This Row],[Sales_Amount]]&lt;100000,"Low")</f>
        <v>Medium</v>
      </c>
      <c r="N368" t="str">
        <f>TEXT(Table1[[#This Row],[Order_Date]],"MMMM")</f>
        <v>June</v>
      </c>
      <c r="O368">
        <f>YEAR(Table1[[#This Row],[Order_Date]])</f>
        <v>2026</v>
      </c>
    </row>
    <row r="369" spans="1:15" x14ac:dyDescent="0.3">
      <c r="A369" t="s">
        <v>400</v>
      </c>
      <c r="B369" s="1">
        <v>46188</v>
      </c>
      <c r="C369" t="s">
        <v>28</v>
      </c>
      <c r="D369" t="s">
        <v>34</v>
      </c>
      <c r="E369" t="s">
        <v>32</v>
      </c>
      <c r="F369" s="3">
        <v>6</v>
      </c>
      <c r="G369" s="4">
        <v>36368</v>
      </c>
      <c r="H369" s="4">
        <v>218208</v>
      </c>
      <c r="I369" s="4">
        <v>168757.72</v>
      </c>
      <c r="J369" s="4">
        <v>49450.28</v>
      </c>
      <c r="K369" t="s">
        <v>15</v>
      </c>
      <c r="L369" s="3">
        <f>(Table1[[#This Row],[Profit]]/Table1[[#This Row],[Sales_Amount]])*100</f>
        <v>22.661992227599352</v>
      </c>
      <c r="M369" s="4" t="str" cm="1">
        <f t="array" ref="M369">_xlfn.IFS(Table1[[#This Row],[Sales_Amount]]&gt;200000,"High",AND(Table1[[#This Row],[Sales_Amount]]&gt;100000,Table1[[#This Row],[Sales_Amount]]&lt;200000),"Medium",Table1[[#This Row],[Sales_Amount]]&lt;100000,"Low")</f>
        <v>High</v>
      </c>
      <c r="N369" t="str">
        <f>TEXT(Table1[[#This Row],[Order_Date]],"MMMM")</f>
        <v>June</v>
      </c>
      <c r="O369">
        <f>YEAR(Table1[[#This Row],[Order_Date]])</f>
        <v>2026</v>
      </c>
    </row>
    <row r="370" spans="1:15" x14ac:dyDescent="0.3">
      <c r="A370" t="s">
        <v>401</v>
      </c>
      <c r="B370" s="1">
        <v>46189</v>
      </c>
      <c r="C370" t="s">
        <v>12</v>
      </c>
      <c r="D370" t="s">
        <v>56</v>
      </c>
      <c r="E370" t="s">
        <v>14</v>
      </c>
      <c r="F370" s="3">
        <v>8</v>
      </c>
      <c r="G370" s="4">
        <v>1567</v>
      </c>
      <c r="H370" s="4">
        <v>12536</v>
      </c>
      <c r="I370" s="4">
        <v>7988.83</v>
      </c>
      <c r="J370" s="4">
        <v>4547.17</v>
      </c>
      <c r="K370" t="s">
        <v>58</v>
      </c>
      <c r="L370" s="3">
        <f>(Table1[[#This Row],[Profit]]/Table1[[#This Row],[Sales_Amount]])*100</f>
        <v>36.27289406509253</v>
      </c>
      <c r="M370" s="4" t="str" cm="1">
        <f t="array" ref="M370">_xlfn.IFS(Table1[[#This Row],[Sales_Amount]]&gt;200000,"High",AND(Table1[[#This Row],[Sales_Amount]]&gt;100000,Table1[[#This Row],[Sales_Amount]]&lt;200000),"Medium",Table1[[#This Row],[Sales_Amount]]&lt;100000,"Low")</f>
        <v>Low</v>
      </c>
      <c r="N370" t="str">
        <f>TEXT(Table1[[#This Row],[Order_Date]],"MMMM")</f>
        <v>June</v>
      </c>
      <c r="O370">
        <f>YEAR(Table1[[#This Row],[Order_Date]])</f>
        <v>2026</v>
      </c>
    </row>
    <row r="371" spans="1:15" x14ac:dyDescent="0.3">
      <c r="A371" t="s">
        <v>402</v>
      </c>
      <c r="B371" s="1">
        <v>46190</v>
      </c>
      <c r="C371" t="s">
        <v>40</v>
      </c>
      <c r="D371" t="s">
        <v>13</v>
      </c>
      <c r="E371" t="s">
        <v>37</v>
      </c>
      <c r="F371" s="3">
        <v>4</v>
      </c>
      <c r="G371" s="4">
        <v>45627</v>
      </c>
      <c r="H371" s="4">
        <v>182508</v>
      </c>
      <c r="I371" s="4">
        <v>159297.03</v>
      </c>
      <c r="J371" s="4">
        <v>23210.97</v>
      </c>
      <c r="K371" t="s">
        <v>26</v>
      </c>
      <c r="L371" s="3">
        <f>(Table1[[#This Row],[Profit]]/Table1[[#This Row],[Sales_Amount]])*100</f>
        <v>12.717782234203433</v>
      </c>
      <c r="M371" s="4" t="str" cm="1">
        <f t="array" ref="M371">_xlfn.IFS(Table1[[#This Row],[Sales_Amount]]&gt;200000,"High",AND(Table1[[#This Row],[Sales_Amount]]&gt;100000,Table1[[#This Row],[Sales_Amount]]&lt;200000),"Medium",Table1[[#This Row],[Sales_Amount]]&lt;100000,"Low")</f>
        <v>Medium</v>
      </c>
      <c r="N371" t="str">
        <f>TEXT(Table1[[#This Row],[Order_Date]],"MMMM")</f>
        <v>June</v>
      </c>
      <c r="O371">
        <f>YEAR(Table1[[#This Row],[Order_Date]])</f>
        <v>2026</v>
      </c>
    </row>
    <row r="372" spans="1:15" x14ac:dyDescent="0.3">
      <c r="A372" t="s">
        <v>403</v>
      </c>
      <c r="B372" s="1">
        <v>46191</v>
      </c>
      <c r="C372" t="s">
        <v>12</v>
      </c>
      <c r="D372" t="s">
        <v>18</v>
      </c>
      <c r="E372" t="s">
        <v>19</v>
      </c>
      <c r="F372" s="3">
        <v>6</v>
      </c>
      <c r="G372" s="4">
        <v>16909</v>
      </c>
      <c r="H372" s="4">
        <v>101454</v>
      </c>
      <c r="I372" s="4">
        <v>63380.97</v>
      </c>
      <c r="J372" s="4">
        <v>38073.03</v>
      </c>
      <c r="K372" t="s">
        <v>58</v>
      </c>
      <c r="L372" s="3">
        <f>(Table1[[#This Row],[Profit]]/Table1[[#This Row],[Sales_Amount]])*100</f>
        <v>37.527381867644451</v>
      </c>
      <c r="M372" s="4" t="str" cm="1">
        <f t="array" ref="M372">_xlfn.IFS(Table1[[#This Row],[Sales_Amount]]&gt;200000,"High",AND(Table1[[#This Row],[Sales_Amount]]&gt;100000,Table1[[#This Row],[Sales_Amount]]&lt;200000),"Medium",Table1[[#This Row],[Sales_Amount]]&lt;100000,"Low")</f>
        <v>Medium</v>
      </c>
      <c r="N372" t="str">
        <f>TEXT(Table1[[#This Row],[Order_Date]],"MMMM")</f>
        <v>June</v>
      </c>
      <c r="O372">
        <f>YEAR(Table1[[#This Row],[Order_Date]])</f>
        <v>2026</v>
      </c>
    </row>
    <row r="373" spans="1:15" x14ac:dyDescent="0.3">
      <c r="A373" t="s">
        <v>404</v>
      </c>
      <c r="B373" s="1">
        <v>46192</v>
      </c>
      <c r="C373" t="s">
        <v>17</v>
      </c>
      <c r="D373" t="s">
        <v>18</v>
      </c>
      <c r="E373" t="s">
        <v>32</v>
      </c>
      <c r="F373" s="3">
        <v>4</v>
      </c>
      <c r="G373" s="4">
        <v>28630</v>
      </c>
      <c r="H373" s="4">
        <v>114520</v>
      </c>
      <c r="I373" s="4">
        <v>91231.85</v>
      </c>
      <c r="J373" s="4">
        <v>23288.15</v>
      </c>
      <c r="K373" t="s">
        <v>23</v>
      </c>
      <c r="L373" s="3">
        <f>(Table1[[#This Row],[Profit]]/Table1[[#This Row],[Sales_Amount]])*100</f>
        <v>20.335443590639191</v>
      </c>
      <c r="M373" s="4" t="str" cm="1">
        <f t="array" ref="M373">_xlfn.IFS(Table1[[#This Row],[Sales_Amount]]&gt;200000,"High",AND(Table1[[#This Row],[Sales_Amount]]&gt;100000,Table1[[#This Row],[Sales_Amount]]&lt;200000),"Medium",Table1[[#This Row],[Sales_Amount]]&lt;100000,"Low")</f>
        <v>Medium</v>
      </c>
      <c r="N373" t="str">
        <f>TEXT(Table1[[#This Row],[Order_Date]],"MMMM")</f>
        <v>June</v>
      </c>
      <c r="O373">
        <f>YEAR(Table1[[#This Row],[Order_Date]])</f>
        <v>2026</v>
      </c>
    </row>
    <row r="374" spans="1:15" x14ac:dyDescent="0.3">
      <c r="A374" t="s">
        <v>405</v>
      </c>
      <c r="B374" s="1">
        <v>46193</v>
      </c>
      <c r="C374" t="s">
        <v>28</v>
      </c>
      <c r="D374" t="s">
        <v>18</v>
      </c>
      <c r="E374" t="s">
        <v>14</v>
      </c>
      <c r="F374" s="3">
        <v>3</v>
      </c>
      <c r="G374" s="4">
        <v>39407</v>
      </c>
      <c r="H374" s="4">
        <v>118221</v>
      </c>
      <c r="I374" s="4">
        <v>78954.75</v>
      </c>
      <c r="J374" s="4">
        <v>39266.25</v>
      </c>
      <c r="K374" t="s">
        <v>15</v>
      </c>
      <c r="L374" s="3">
        <f>(Table1[[#This Row],[Profit]]/Table1[[#This Row],[Sales_Amount]])*100</f>
        <v>33.214276651356357</v>
      </c>
      <c r="M374" s="4" t="str" cm="1">
        <f t="array" ref="M374">_xlfn.IFS(Table1[[#This Row],[Sales_Amount]]&gt;200000,"High",AND(Table1[[#This Row],[Sales_Amount]]&gt;100000,Table1[[#This Row],[Sales_Amount]]&lt;200000),"Medium",Table1[[#This Row],[Sales_Amount]]&lt;100000,"Low")</f>
        <v>Medium</v>
      </c>
      <c r="N374" t="str">
        <f>TEXT(Table1[[#This Row],[Order_Date]],"MMMM")</f>
        <v>June</v>
      </c>
      <c r="O374">
        <f>YEAR(Table1[[#This Row],[Order_Date]])</f>
        <v>2026</v>
      </c>
    </row>
    <row r="375" spans="1:15" x14ac:dyDescent="0.3">
      <c r="A375" t="s">
        <v>406</v>
      </c>
      <c r="B375" s="1">
        <v>46194</v>
      </c>
      <c r="C375" t="s">
        <v>28</v>
      </c>
      <c r="D375" t="s">
        <v>29</v>
      </c>
      <c r="E375" t="s">
        <v>32</v>
      </c>
      <c r="F375" s="3">
        <v>2</v>
      </c>
      <c r="G375" s="4">
        <v>28176</v>
      </c>
      <c r="H375" s="4">
        <v>56352</v>
      </c>
      <c r="I375" s="4">
        <v>45544.21</v>
      </c>
      <c r="J375" s="4">
        <v>10807.79</v>
      </c>
      <c r="K375" t="s">
        <v>23</v>
      </c>
      <c r="L375" s="3">
        <f>(Table1[[#This Row],[Profit]]/Table1[[#This Row],[Sales_Amount]])*100</f>
        <v>19.179070840431574</v>
      </c>
      <c r="M375" s="4" t="str" cm="1">
        <f t="array" ref="M375">_xlfn.IFS(Table1[[#This Row],[Sales_Amount]]&gt;200000,"High",AND(Table1[[#This Row],[Sales_Amount]]&gt;100000,Table1[[#This Row],[Sales_Amount]]&lt;200000),"Medium",Table1[[#This Row],[Sales_Amount]]&lt;100000,"Low")</f>
        <v>Low</v>
      </c>
      <c r="N375" t="str">
        <f>TEXT(Table1[[#This Row],[Order_Date]],"MMMM")</f>
        <v>June</v>
      </c>
      <c r="O375">
        <f>YEAR(Table1[[#This Row],[Order_Date]])</f>
        <v>2026</v>
      </c>
    </row>
    <row r="376" spans="1:15" x14ac:dyDescent="0.3">
      <c r="A376" t="s">
        <v>407</v>
      </c>
      <c r="B376" s="1">
        <v>46195</v>
      </c>
      <c r="C376" t="s">
        <v>40</v>
      </c>
      <c r="D376" t="s">
        <v>13</v>
      </c>
      <c r="E376" t="s">
        <v>14</v>
      </c>
      <c r="F376" s="3">
        <v>2</v>
      </c>
      <c r="G376" s="4">
        <v>7263</v>
      </c>
      <c r="H376" s="4">
        <v>14526</v>
      </c>
      <c r="I376" s="4">
        <v>10081.120000000001</v>
      </c>
      <c r="J376" s="4">
        <v>4444.88</v>
      </c>
      <c r="K376" t="s">
        <v>58</v>
      </c>
      <c r="L376" s="3">
        <f>(Table1[[#This Row],[Profit]]/Table1[[#This Row],[Sales_Amount]])*100</f>
        <v>30.599476800220295</v>
      </c>
      <c r="M376" s="4" t="str" cm="1">
        <f t="array" ref="M376">_xlfn.IFS(Table1[[#This Row],[Sales_Amount]]&gt;200000,"High",AND(Table1[[#This Row],[Sales_Amount]]&gt;100000,Table1[[#This Row],[Sales_Amount]]&lt;200000),"Medium",Table1[[#This Row],[Sales_Amount]]&lt;100000,"Low")</f>
        <v>Low</v>
      </c>
      <c r="N376" t="str">
        <f>TEXT(Table1[[#This Row],[Order_Date]],"MMMM")</f>
        <v>June</v>
      </c>
      <c r="O376">
        <f>YEAR(Table1[[#This Row],[Order_Date]])</f>
        <v>2026</v>
      </c>
    </row>
    <row r="377" spans="1:15" x14ac:dyDescent="0.3">
      <c r="A377" t="s">
        <v>408</v>
      </c>
      <c r="B377" s="1">
        <v>46196</v>
      </c>
      <c r="C377" t="s">
        <v>17</v>
      </c>
      <c r="D377" t="s">
        <v>13</v>
      </c>
      <c r="E377" t="s">
        <v>19</v>
      </c>
      <c r="F377" s="3">
        <v>3</v>
      </c>
      <c r="G377" s="4">
        <v>4983</v>
      </c>
      <c r="H377" s="4">
        <v>14949</v>
      </c>
      <c r="I377" s="4">
        <v>11348.57</v>
      </c>
      <c r="J377" s="4">
        <v>3600.43</v>
      </c>
      <c r="K377" t="s">
        <v>58</v>
      </c>
      <c r="L377" s="3">
        <f>(Table1[[#This Row],[Profit]]/Table1[[#This Row],[Sales_Amount]])*100</f>
        <v>24.084754833099204</v>
      </c>
      <c r="M377" s="4" t="str" cm="1">
        <f t="array" ref="M377">_xlfn.IFS(Table1[[#This Row],[Sales_Amount]]&gt;200000,"High",AND(Table1[[#This Row],[Sales_Amount]]&gt;100000,Table1[[#This Row],[Sales_Amount]]&lt;200000),"Medium",Table1[[#This Row],[Sales_Amount]]&lt;100000,"Low")</f>
        <v>Low</v>
      </c>
      <c r="N377" t="str">
        <f>TEXT(Table1[[#This Row],[Order_Date]],"MMMM")</f>
        <v>June</v>
      </c>
      <c r="O377">
        <f>YEAR(Table1[[#This Row],[Order_Date]])</f>
        <v>2026</v>
      </c>
    </row>
    <row r="378" spans="1:15" x14ac:dyDescent="0.3">
      <c r="A378" t="s">
        <v>409</v>
      </c>
      <c r="B378" s="1">
        <v>46197</v>
      </c>
      <c r="C378" t="s">
        <v>28</v>
      </c>
      <c r="D378" t="s">
        <v>56</v>
      </c>
      <c r="E378" t="s">
        <v>19</v>
      </c>
      <c r="F378" s="3">
        <v>4</v>
      </c>
      <c r="G378" s="4">
        <v>41661</v>
      </c>
      <c r="H378" s="4">
        <v>166644</v>
      </c>
      <c r="I378" s="4">
        <v>137394.75</v>
      </c>
      <c r="J378" s="4">
        <v>29249.25</v>
      </c>
      <c r="K378" t="s">
        <v>23</v>
      </c>
      <c r="L378" s="3">
        <f>(Table1[[#This Row],[Profit]]/Table1[[#This Row],[Sales_Amount]])*100</f>
        <v>17.551937063440629</v>
      </c>
      <c r="M378" s="4" t="str" cm="1">
        <f t="array" ref="M378">_xlfn.IFS(Table1[[#This Row],[Sales_Amount]]&gt;200000,"High",AND(Table1[[#This Row],[Sales_Amount]]&gt;100000,Table1[[#This Row],[Sales_Amount]]&lt;200000),"Medium",Table1[[#This Row],[Sales_Amount]]&lt;100000,"Low")</f>
        <v>Medium</v>
      </c>
      <c r="N378" t="str">
        <f>TEXT(Table1[[#This Row],[Order_Date]],"MMMM")</f>
        <v>June</v>
      </c>
      <c r="O378">
        <f>YEAR(Table1[[#This Row],[Order_Date]])</f>
        <v>2026</v>
      </c>
    </row>
    <row r="379" spans="1:15" x14ac:dyDescent="0.3">
      <c r="A379" t="s">
        <v>410</v>
      </c>
      <c r="B379" s="1">
        <v>46198</v>
      </c>
      <c r="C379" t="s">
        <v>28</v>
      </c>
      <c r="D379" t="s">
        <v>34</v>
      </c>
      <c r="E379" t="s">
        <v>14</v>
      </c>
      <c r="F379" s="3">
        <v>3</v>
      </c>
      <c r="G379" s="4">
        <v>49812</v>
      </c>
      <c r="H379" s="4">
        <v>149436</v>
      </c>
      <c r="I379" s="4">
        <v>95182.84</v>
      </c>
      <c r="J379" s="4">
        <v>54253.16</v>
      </c>
      <c r="K379" t="s">
        <v>58</v>
      </c>
      <c r="L379" s="3">
        <f>(Table1[[#This Row],[Profit]]/Table1[[#This Row],[Sales_Amount]])*100</f>
        <v>36.305281190610032</v>
      </c>
      <c r="M379" s="4" t="str" cm="1">
        <f t="array" ref="M379">_xlfn.IFS(Table1[[#This Row],[Sales_Amount]]&gt;200000,"High",AND(Table1[[#This Row],[Sales_Amount]]&gt;100000,Table1[[#This Row],[Sales_Amount]]&lt;200000),"Medium",Table1[[#This Row],[Sales_Amount]]&lt;100000,"Low")</f>
        <v>Medium</v>
      </c>
      <c r="N379" t="str">
        <f>TEXT(Table1[[#This Row],[Order_Date]],"MMMM")</f>
        <v>June</v>
      </c>
      <c r="O379">
        <f>YEAR(Table1[[#This Row],[Order_Date]])</f>
        <v>2026</v>
      </c>
    </row>
    <row r="380" spans="1:15" x14ac:dyDescent="0.3">
      <c r="A380" t="s">
        <v>411</v>
      </c>
      <c r="B380" s="1">
        <v>46199</v>
      </c>
      <c r="C380" t="s">
        <v>12</v>
      </c>
      <c r="D380" t="s">
        <v>44</v>
      </c>
      <c r="E380" t="s">
        <v>22</v>
      </c>
      <c r="F380" s="3">
        <v>4</v>
      </c>
      <c r="G380" s="4">
        <v>18651</v>
      </c>
      <c r="H380" s="4">
        <v>74604</v>
      </c>
      <c r="I380" s="4">
        <v>59189.78</v>
      </c>
      <c r="J380" s="4">
        <v>15414.22</v>
      </c>
      <c r="K380" t="s">
        <v>15</v>
      </c>
      <c r="L380" s="3">
        <f>(Table1[[#This Row],[Profit]]/Table1[[#This Row],[Sales_Amount]])*100</f>
        <v>20.66138544850142</v>
      </c>
      <c r="M380" s="4" t="str" cm="1">
        <f t="array" ref="M380">_xlfn.IFS(Table1[[#This Row],[Sales_Amount]]&gt;200000,"High",AND(Table1[[#This Row],[Sales_Amount]]&gt;100000,Table1[[#This Row],[Sales_Amount]]&lt;200000),"Medium",Table1[[#This Row],[Sales_Amount]]&lt;100000,"Low")</f>
        <v>Low</v>
      </c>
      <c r="N380" t="str">
        <f>TEXT(Table1[[#This Row],[Order_Date]],"MMMM")</f>
        <v>June</v>
      </c>
      <c r="O380">
        <f>YEAR(Table1[[#This Row],[Order_Date]])</f>
        <v>2026</v>
      </c>
    </row>
    <row r="381" spans="1:15" x14ac:dyDescent="0.3">
      <c r="A381" t="s">
        <v>412</v>
      </c>
      <c r="B381" s="1">
        <v>46200</v>
      </c>
      <c r="C381" t="s">
        <v>12</v>
      </c>
      <c r="D381" t="s">
        <v>21</v>
      </c>
      <c r="E381" t="s">
        <v>32</v>
      </c>
      <c r="F381" s="3">
        <v>4</v>
      </c>
      <c r="G381" s="4">
        <v>34431</v>
      </c>
      <c r="H381" s="4">
        <v>137724</v>
      </c>
      <c r="I381" s="4">
        <v>107710.92</v>
      </c>
      <c r="J381" s="4">
        <v>30013.08</v>
      </c>
      <c r="K381" t="s">
        <v>26</v>
      </c>
      <c r="L381" s="3">
        <f>(Table1[[#This Row],[Profit]]/Table1[[#This Row],[Sales_Amount]])*100</f>
        <v>21.792193081815807</v>
      </c>
      <c r="M381" s="4" t="str" cm="1">
        <f t="array" ref="M381">_xlfn.IFS(Table1[[#This Row],[Sales_Amount]]&gt;200000,"High",AND(Table1[[#This Row],[Sales_Amount]]&gt;100000,Table1[[#This Row],[Sales_Amount]]&lt;200000),"Medium",Table1[[#This Row],[Sales_Amount]]&lt;100000,"Low")</f>
        <v>Medium</v>
      </c>
      <c r="N381" t="str">
        <f>TEXT(Table1[[#This Row],[Order_Date]],"MMMM")</f>
        <v>June</v>
      </c>
      <c r="O381">
        <f>YEAR(Table1[[#This Row],[Order_Date]])</f>
        <v>2026</v>
      </c>
    </row>
    <row r="382" spans="1:15" x14ac:dyDescent="0.3">
      <c r="A382" t="s">
        <v>413</v>
      </c>
      <c r="B382" s="1">
        <v>46201</v>
      </c>
      <c r="C382" t="s">
        <v>12</v>
      </c>
      <c r="D382" t="s">
        <v>56</v>
      </c>
      <c r="E382" t="s">
        <v>14</v>
      </c>
      <c r="F382" s="3">
        <v>4</v>
      </c>
      <c r="G382" s="4">
        <v>32932</v>
      </c>
      <c r="H382" s="4">
        <v>131728</v>
      </c>
      <c r="I382" s="4">
        <v>94286.38</v>
      </c>
      <c r="J382" s="4">
        <v>37441.620000000003</v>
      </c>
      <c r="K382" t="s">
        <v>15</v>
      </c>
      <c r="L382" s="3">
        <f>(Table1[[#This Row],[Profit]]/Table1[[#This Row],[Sales_Amount]])*100</f>
        <v>28.423433134944737</v>
      </c>
      <c r="M382" s="4" t="str" cm="1">
        <f t="array" ref="M382">_xlfn.IFS(Table1[[#This Row],[Sales_Amount]]&gt;200000,"High",AND(Table1[[#This Row],[Sales_Amount]]&gt;100000,Table1[[#This Row],[Sales_Amount]]&lt;200000),"Medium",Table1[[#This Row],[Sales_Amount]]&lt;100000,"Low")</f>
        <v>Medium</v>
      </c>
      <c r="N382" t="str">
        <f>TEXT(Table1[[#This Row],[Order_Date]],"MMMM")</f>
        <v>June</v>
      </c>
      <c r="O382">
        <f>YEAR(Table1[[#This Row],[Order_Date]])</f>
        <v>2026</v>
      </c>
    </row>
    <row r="383" spans="1:15" x14ac:dyDescent="0.3">
      <c r="A383" t="s">
        <v>414</v>
      </c>
      <c r="B383" s="1">
        <v>46202</v>
      </c>
      <c r="C383" t="s">
        <v>28</v>
      </c>
      <c r="D383" t="s">
        <v>34</v>
      </c>
      <c r="E383" t="s">
        <v>14</v>
      </c>
      <c r="F383" s="3">
        <v>6</v>
      </c>
      <c r="G383" s="4">
        <v>21240</v>
      </c>
      <c r="H383" s="4">
        <v>127440</v>
      </c>
      <c r="I383" s="4">
        <v>81509.97</v>
      </c>
      <c r="J383" s="4">
        <v>45930.03</v>
      </c>
      <c r="K383" t="s">
        <v>23</v>
      </c>
      <c r="L383" s="3">
        <f>(Table1[[#This Row],[Profit]]/Table1[[#This Row],[Sales_Amount]])*100</f>
        <v>36.040513182674196</v>
      </c>
      <c r="M383" s="4" t="str" cm="1">
        <f t="array" ref="M383">_xlfn.IFS(Table1[[#This Row],[Sales_Amount]]&gt;200000,"High",AND(Table1[[#This Row],[Sales_Amount]]&gt;100000,Table1[[#This Row],[Sales_Amount]]&lt;200000),"Medium",Table1[[#This Row],[Sales_Amount]]&lt;100000,"Low")</f>
        <v>Medium</v>
      </c>
      <c r="N383" t="str">
        <f>TEXT(Table1[[#This Row],[Order_Date]],"MMMM")</f>
        <v>June</v>
      </c>
      <c r="O383">
        <f>YEAR(Table1[[#This Row],[Order_Date]])</f>
        <v>2026</v>
      </c>
    </row>
    <row r="384" spans="1:15" x14ac:dyDescent="0.3">
      <c r="A384" t="s">
        <v>415</v>
      </c>
      <c r="B384" s="1">
        <v>46203</v>
      </c>
      <c r="C384" t="s">
        <v>40</v>
      </c>
      <c r="D384" t="s">
        <v>51</v>
      </c>
      <c r="E384" t="s">
        <v>14</v>
      </c>
      <c r="F384" s="3">
        <v>1</v>
      </c>
      <c r="G384" s="4">
        <v>38993</v>
      </c>
      <c r="H384" s="4">
        <v>38993</v>
      </c>
      <c r="I384" s="4">
        <v>24185.79</v>
      </c>
      <c r="J384" s="4">
        <v>14807.21</v>
      </c>
      <c r="K384" t="s">
        <v>15</v>
      </c>
      <c r="L384" s="3">
        <f>(Table1[[#This Row],[Profit]]/Table1[[#This Row],[Sales_Amount]])*100</f>
        <v>37.97402097812428</v>
      </c>
      <c r="M384" s="4" t="str" cm="1">
        <f t="array" ref="M384">_xlfn.IFS(Table1[[#This Row],[Sales_Amount]]&gt;200000,"High",AND(Table1[[#This Row],[Sales_Amount]]&gt;100000,Table1[[#This Row],[Sales_Amount]]&lt;200000),"Medium",Table1[[#This Row],[Sales_Amount]]&lt;100000,"Low")</f>
        <v>Low</v>
      </c>
      <c r="N384" t="str">
        <f>TEXT(Table1[[#This Row],[Order_Date]],"MMMM")</f>
        <v>June</v>
      </c>
      <c r="O384">
        <f>YEAR(Table1[[#This Row],[Order_Date]])</f>
        <v>2026</v>
      </c>
    </row>
    <row r="385" spans="1:15" x14ac:dyDescent="0.3">
      <c r="A385" t="s">
        <v>416</v>
      </c>
      <c r="B385" s="1">
        <v>46204</v>
      </c>
      <c r="C385" t="s">
        <v>28</v>
      </c>
      <c r="D385" t="s">
        <v>21</v>
      </c>
      <c r="E385" t="s">
        <v>37</v>
      </c>
      <c r="F385" s="3">
        <v>9</v>
      </c>
      <c r="G385" s="4">
        <v>19275</v>
      </c>
      <c r="H385" s="4">
        <v>173475</v>
      </c>
      <c r="I385" s="4">
        <v>136797.39000000001</v>
      </c>
      <c r="J385" s="4">
        <v>36677.61</v>
      </c>
      <c r="K385" t="s">
        <v>58</v>
      </c>
      <c r="L385" s="3">
        <f>(Table1[[#This Row],[Profit]]/Table1[[#This Row],[Sales_Amount]])*100</f>
        <v>21.142879377431907</v>
      </c>
      <c r="M385" s="4" t="str" cm="1">
        <f t="array" ref="M385">_xlfn.IFS(Table1[[#This Row],[Sales_Amount]]&gt;200000,"High",AND(Table1[[#This Row],[Sales_Amount]]&gt;100000,Table1[[#This Row],[Sales_Amount]]&lt;200000),"Medium",Table1[[#This Row],[Sales_Amount]]&lt;100000,"Low")</f>
        <v>Medium</v>
      </c>
      <c r="N385" t="str">
        <f>TEXT(Table1[[#This Row],[Order_Date]],"MMMM")</f>
        <v>July</v>
      </c>
      <c r="O385">
        <f>YEAR(Table1[[#This Row],[Order_Date]])</f>
        <v>2026</v>
      </c>
    </row>
    <row r="386" spans="1:15" x14ac:dyDescent="0.3">
      <c r="A386" t="s">
        <v>417</v>
      </c>
      <c r="B386" s="1">
        <v>46205</v>
      </c>
      <c r="C386" t="s">
        <v>40</v>
      </c>
      <c r="D386" t="s">
        <v>29</v>
      </c>
      <c r="E386" t="s">
        <v>19</v>
      </c>
      <c r="F386" s="3">
        <v>9</v>
      </c>
      <c r="G386" s="4">
        <v>35735</v>
      </c>
      <c r="H386" s="4">
        <v>321615</v>
      </c>
      <c r="I386" s="4">
        <v>252407.99</v>
      </c>
      <c r="J386" s="4">
        <v>69207.009999999995</v>
      </c>
      <c r="K386" t="s">
        <v>26</v>
      </c>
      <c r="L386" s="3">
        <f>(Table1[[#This Row],[Profit]]/Table1[[#This Row],[Sales_Amount]])*100</f>
        <v>21.518588996160005</v>
      </c>
      <c r="M386" s="4" t="str" cm="1">
        <f t="array" ref="M386">_xlfn.IFS(Table1[[#This Row],[Sales_Amount]]&gt;200000,"High",AND(Table1[[#This Row],[Sales_Amount]]&gt;100000,Table1[[#This Row],[Sales_Amount]]&lt;200000),"Medium",Table1[[#This Row],[Sales_Amount]]&lt;100000,"Low")</f>
        <v>High</v>
      </c>
      <c r="N386" t="str">
        <f>TEXT(Table1[[#This Row],[Order_Date]],"MMMM")</f>
        <v>July</v>
      </c>
      <c r="O386">
        <f>YEAR(Table1[[#This Row],[Order_Date]])</f>
        <v>2026</v>
      </c>
    </row>
    <row r="387" spans="1:15" x14ac:dyDescent="0.3">
      <c r="A387" t="s">
        <v>418</v>
      </c>
      <c r="B387" s="1">
        <v>46206</v>
      </c>
      <c r="C387" t="s">
        <v>28</v>
      </c>
      <c r="D387" t="s">
        <v>29</v>
      </c>
      <c r="E387" t="s">
        <v>25</v>
      </c>
      <c r="F387" s="3">
        <v>4</v>
      </c>
      <c r="G387" s="4">
        <v>10682</v>
      </c>
      <c r="H387" s="4">
        <v>42728</v>
      </c>
      <c r="I387" s="4">
        <v>32512.46</v>
      </c>
      <c r="J387" s="4">
        <v>10215.540000000001</v>
      </c>
      <c r="K387" t="s">
        <v>26</v>
      </c>
      <c r="L387" s="3">
        <f>(Table1[[#This Row],[Profit]]/Table1[[#This Row],[Sales_Amount]])*100</f>
        <v>23.908303688447859</v>
      </c>
      <c r="M387" s="4" t="str" cm="1">
        <f t="array" ref="M387">_xlfn.IFS(Table1[[#This Row],[Sales_Amount]]&gt;200000,"High",AND(Table1[[#This Row],[Sales_Amount]]&gt;100000,Table1[[#This Row],[Sales_Amount]]&lt;200000),"Medium",Table1[[#This Row],[Sales_Amount]]&lt;100000,"Low")</f>
        <v>Low</v>
      </c>
      <c r="N387" t="str">
        <f>TEXT(Table1[[#This Row],[Order_Date]],"MMMM")</f>
        <v>July</v>
      </c>
      <c r="O387">
        <f>YEAR(Table1[[#This Row],[Order_Date]])</f>
        <v>2026</v>
      </c>
    </row>
    <row r="388" spans="1:15" x14ac:dyDescent="0.3">
      <c r="A388" t="s">
        <v>419</v>
      </c>
      <c r="B388" s="1">
        <v>46207</v>
      </c>
      <c r="C388" t="s">
        <v>28</v>
      </c>
      <c r="D388" t="s">
        <v>29</v>
      </c>
      <c r="E388" t="s">
        <v>37</v>
      </c>
      <c r="F388" s="3">
        <v>4</v>
      </c>
      <c r="G388" s="4">
        <v>4294</v>
      </c>
      <c r="H388" s="4">
        <v>17176</v>
      </c>
      <c r="I388" s="4">
        <v>11565.36</v>
      </c>
      <c r="J388" s="4">
        <v>5610.64</v>
      </c>
      <c r="K388" t="s">
        <v>58</v>
      </c>
      <c r="L388" s="3">
        <f>(Table1[[#This Row],[Profit]]/Table1[[#This Row],[Sales_Amount]])*100</f>
        <v>32.665579878900793</v>
      </c>
      <c r="M388" s="4" t="str" cm="1">
        <f t="array" ref="M388">_xlfn.IFS(Table1[[#This Row],[Sales_Amount]]&gt;200000,"High",AND(Table1[[#This Row],[Sales_Amount]]&gt;100000,Table1[[#This Row],[Sales_Amount]]&lt;200000),"Medium",Table1[[#This Row],[Sales_Amount]]&lt;100000,"Low")</f>
        <v>Low</v>
      </c>
      <c r="N388" t="str">
        <f>TEXT(Table1[[#This Row],[Order_Date]],"MMMM")</f>
        <v>July</v>
      </c>
      <c r="O388">
        <f>YEAR(Table1[[#This Row],[Order_Date]])</f>
        <v>2026</v>
      </c>
    </row>
    <row r="389" spans="1:15" x14ac:dyDescent="0.3">
      <c r="A389" t="s">
        <v>420</v>
      </c>
      <c r="B389" s="1">
        <v>46208</v>
      </c>
      <c r="C389" t="s">
        <v>12</v>
      </c>
      <c r="D389" t="s">
        <v>29</v>
      </c>
      <c r="E389" t="s">
        <v>25</v>
      </c>
      <c r="F389" s="3">
        <v>1</v>
      </c>
      <c r="G389" s="4">
        <v>20769</v>
      </c>
      <c r="H389" s="4">
        <v>20769</v>
      </c>
      <c r="I389" s="4">
        <v>16611.54</v>
      </c>
      <c r="J389" s="4">
        <v>4157.46</v>
      </c>
      <c r="K389" t="s">
        <v>15</v>
      </c>
      <c r="L389" s="3">
        <f>(Table1[[#This Row],[Profit]]/Table1[[#This Row],[Sales_Amount]])*100</f>
        <v>20.017622418026868</v>
      </c>
      <c r="M389" s="4" t="str" cm="1">
        <f t="array" ref="M389">_xlfn.IFS(Table1[[#This Row],[Sales_Amount]]&gt;200000,"High",AND(Table1[[#This Row],[Sales_Amount]]&gt;100000,Table1[[#This Row],[Sales_Amount]]&lt;200000),"Medium",Table1[[#This Row],[Sales_Amount]]&lt;100000,"Low")</f>
        <v>Low</v>
      </c>
      <c r="N389" t="str">
        <f>TEXT(Table1[[#This Row],[Order_Date]],"MMMM")</f>
        <v>July</v>
      </c>
      <c r="O389">
        <f>YEAR(Table1[[#This Row],[Order_Date]])</f>
        <v>2026</v>
      </c>
    </row>
    <row r="390" spans="1:15" x14ac:dyDescent="0.3">
      <c r="A390" t="s">
        <v>421</v>
      </c>
      <c r="B390" s="1">
        <v>46209</v>
      </c>
      <c r="C390" t="s">
        <v>40</v>
      </c>
      <c r="D390" t="s">
        <v>44</v>
      </c>
      <c r="E390" t="s">
        <v>19</v>
      </c>
      <c r="F390" s="3">
        <v>1</v>
      </c>
      <c r="G390" s="4">
        <v>11236</v>
      </c>
      <c r="H390" s="4">
        <v>11236</v>
      </c>
      <c r="I390" s="4">
        <v>8414.91</v>
      </c>
      <c r="J390" s="4">
        <v>2821.09</v>
      </c>
      <c r="K390" t="s">
        <v>23</v>
      </c>
      <c r="L390" s="3">
        <f>(Table1[[#This Row],[Profit]]/Table1[[#This Row],[Sales_Amount]])*100</f>
        <v>25.107600569597722</v>
      </c>
      <c r="M390" s="4" t="str" cm="1">
        <f t="array" ref="M390">_xlfn.IFS(Table1[[#This Row],[Sales_Amount]]&gt;200000,"High",AND(Table1[[#This Row],[Sales_Amount]]&gt;100000,Table1[[#This Row],[Sales_Amount]]&lt;200000),"Medium",Table1[[#This Row],[Sales_Amount]]&lt;100000,"Low")</f>
        <v>Low</v>
      </c>
      <c r="N390" t="str">
        <f>TEXT(Table1[[#This Row],[Order_Date]],"MMMM")</f>
        <v>July</v>
      </c>
      <c r="O390">
        <f>YEAR(Table1[[#This Row],[Order_Date]])</f>
        <v>2026</v>
      </c>
    </row>
    <row r="391" spans="1:15" x14ac:dyDescent="0.3">
      <c r="A391" t="s">
        <v>422</v>
      </c>
      <c r="B391" s="1">
        <v>46210</v>
      </c>
      <c r="C391" t="s">
        <v>17</v>
      </c>
      <c r="D391" t="s">
        <v>34</v>
      </c>
      <c r="E391" t="s">
        <v>22</v>
      </c>
      <c r="F391" s="3">
        <v>5</v>
      </c>
      <c r="G391" s="4">
        <v>48533</v>
      </c>
      <c r="H391" s="4">
        <v>242665</v>
      </c>
      <c r="I391" s="4">
        <v>210129.55</v>
      </c>
      <c r="J391" s="4">
        <v>32535.45</v>
      </c>
      <c r="K391" t="s">
        <v>58</v>
      </c>
      <c r="L391" s="3">
        <f>(Table1[[#This Row],[Profit]]/Table1[[#This Row],[Sales_Amount]])*100</f>
        <v>13.407557744215277</v>
      </c>
      <c r="M391" s="4" t="str" cm="1">
        <f t="array" ref="M391">_xlfn.IFS(Table1[[#This Row],[Sales_Amount]]&gt;200000,"High",AND(Table1[[#This Row],[Sales_Amount]]&gt;100000,Table1[[#This Row],[Sales_Amount]]&lt;200000),"Medium",Table1[[#This Row],[Sales_Amount]]&lt;100000,"Low")</f>
        <v>High</v>
      </c>
      <c r="N391" t="str">
        <f>TEXT(Table1[[#This Row],[Order_Date]],"MMMM")</f>
        <v>July</v>
      </c>
      <c r="O391">
        <f>YEAR(Table1[[#This Row],[Order_Date]])</f>
        <v>2026</v>
      </c>
    </row>
    <row r="392" spans="1:15" x14ac:dyDescent="0.3">
      <c r="A392" t="s">
        <v>423</v>
      </c>
      <c r="B392" s="1">
        <v>46211</v>
      </c>
      <c r="C392" t="s">
        <v>17</v>
      </c>
      <c r="D392" t="s">
        <v>56</v>
      </c>
      <c r="E392" t="s">
        <v>25</v>
      </c>
      <c r="F392" s="3">
        <v>2</v>
      </c>
      <c r="G392" s="4">
        <v>17732</v>
      </c>
      <c r="H392" s="4">
        <v>35464</v>
      </c>
      <c r="I392" s="4">
        <v>28856.95</v>
      </c>
      <c r="J392" s="4">
        <v>6607.05</v>
      </c>
      <c r="K392" t="s">
        <v>58</v>
      </c>
      <c r="L392" s="3">
        <f>(Table1[[#This Row],[Profit]]/Table1[[#This Row],[Sales_Amount]])*100</f>
        <v>18.63030115046244</v>
      </c>
      <c r="M392" s="4" t="str" cm="1">
        <f t="array" ref="M392">_xlfn.IFS(Table1[[#This Row],[Sales_Amount]]&gt;200000,"High",AND(Table1[[#This Row],[Sales_Amount]]&gt;100000,Table1[[#This Row],[Sales_Amount]]&lt;200000),"Medium",Table1[[#This Row],[Sales_Amount]]&lt;100000,"Low")</f>
        <v>Low</v>
      </c>
      <c r="N392" t="str">
        <f>TEXT(Table1[[#This Row],[Order_Date]],"MMMM")</f>
        <v>July</v>
      </c>
      <c r="O392">
        <f>YEAR(Table1[[#This Row],[Order_Date]])</f>
        <v>2026</v>
      </c>
    </row>
    <row r="393" spans="1:15" x14ac:dyDescent="0.3">
      <c r="A393" t="s">
        <v>424</v>
      </c>
      <c r="B393" s="1">
        <v>46212</v>
      </c>
      <c r="C393" t="s">
        <v>12</v>
      </c>
      <c r="D393" t="s">
        <v>34</v>
      </c>
      <c r="E393" t="s">
        <v>32</v>
      </c>
      <c r="F393" s="3">
        <v>1</v>
      </c>
      <c r="G393" s="4">
        <v>33242</v>
      </c>
      <c r="H393" s="4">
        <v>33242</v>
      </c>
      <c r="I393" s="4">
        <v>28515.25</v>
      </c>
      <c r="J393" s="4">
        <v>4726.75</v>
      </c>
      <c r="K393" t="s">
        <v>23</v>
      </c>
      <c r="L393" s="3">
        <f>(Table1[[#This Row],[Profit]]/Table1[[#This Row],[Sales_Amount]])*100</f>
        <v>14.21921063714578</v>
      </c>
      <c r="M393" s="4" t="str" cm="1">
        <f t="array" ref="M393">_xlfn.IFS(Table1[[#This Row],[Sales_Amount]]&gt;200000,"High",AND(Table1[[#This Row],[Sales_Amount]]&gt;100000,Table1[[#This Row],[Sales_Amount]]&lt;200000),"Medium",Table1[[#This Row],[Sales_Amount]]&lt;100000,"Low")</f>
        <v>Low</v>
      </c>
      <c r="N393" t="str">
        <f>TEXT(Table1[[#This Row],[Order_Date]],"MMMM")</f>
        <v>July</v>
      </c>
      <c r="O393">
        <f>YEAR(Table1[[#This Row],[Order_Date]])</f>
        <v>2026</v>
      </c>
    </row>
    <row r="394" spans="1:15" x14ac:dyDescent="0.3">
      <c r="A394" t="s">
        <v>425</v>
      </c>
      <c r="B394" s="1">
        <v>46213</v>
      </c>
      <c r="C394" t="s">
        <v>12</v>
      </c>
      <c r="D394" t="s">
        <v>18</v>
      </c>
      <c r="E394" t="s">
        <v>14</v>
      </c>
      <c r="F394" s="3">
        <v>10</v>
      </c>
      <c r="G394" s="4">
        <v>44679</v>
      </c>
      <c r="H394" s="4">
        <v>446790</v>
      </c>
      <c r="I394" s="4">
        <v>364953.04</v>
      </c>
      <c r="J394" s="4">
        <v>81836.960000000006</v>
      </c>
      <c r="K394" t="s">
        <v>15</v>
      </c>
      <c r="L394" s="3">
        <f>(Table1[[#This Row],[Profit]]/Table1[[#This Row],[Sales_Amount]])*100</f>
        <v>18.316649880256946</v>
      </c>
      <c r="M394" s="4" t="str" cm="1">
        <f t="array" ref="M394">_xlfn.IFS(Table1[[#This Row],[Sales_Amount]]&gt;200000,"High",AND(Table1[[#This Row],[Sales_Amount]]&gt;100000,Table1[[#This Row],[Sales_Amount]]&lt;200000),"Medium",Table1[[#This Row],[Sales_Amount]]&lt;100000,"Low")</f>
        <v>High</v>
      </c>
      <c r="N394" t="str">
        <f>TEXT(Table1[[#This Row],[Order_Date]],"MMMM")</f>
        <v>July</v>
      </c>
      <c r="O394">
        <f>YEAR(Table1[[#This Row],[Order_Date]])</f>
        <v>2026</v>
      </c>
    </row>
    <row r="395" spans="1:15" x14ac:dyDescent="0.3">
      <c r="A395" t="s">
        <v>426</v>
      </c>
      <c r="B395" s="1">
        <v>46214</v>
      </c>
      <c r="C395" t="s">
        <v>12</v>
      </c>
      <c r="D395" t="s">
        <v>13</v>
      </c>
      <c r="E395" t="s">
        <v>22</v>
      </c>
      <c r="F395" s="3">
        <v>1</v>
      </c>
      <c r="G395" s="4">
        <v>31417</v>
      </c>
      <c r="H395" s="4">
        <v>31417</v>
      </c>
      <c r="I395" s="4">
        <v>22280.71</v>
      </c>
      <c r="J395" s="4">
        <v>9136.2900000000009</v>
      </c>
      <c r="K395" t="s">
        <v>15</v>
      </c>
      <c r="L395" s="3">
        <f>(Table1[[#This Row],[Profit]]/Table1[[#This Row],[Sales_Amount]])*100</f>
        <v>29.080720628958844</v>
      </c>
      <c r="M395" s="4" t="str" cm="1">
        <f t="array" ref="M395">_xlfn.IFS(Table1[[#This Row],[Sales_Amount]]&gt;200000,"High",AND(Table1[[#This Row],[Sales_Amount]]&gt;100000,Table1[[#This Row],[Sales_Amount]]&lt;200000),"Medium",Table1[[#This Row],[Sales_Amount]]&lt;100000,"Low")</f>
        <v>Low</v>
      </c>
      <c r="N395" t="str">
        <f>TEXT(Table1[[#This Row],[Order_Date]],"MMMM")</f>
        <v>July</v>
      </c>
      <c r="O395">
        <f>YEAR(Table1[[#This Row],[Order_Date]])</f>
        <v>2026</v>
      </c>
    </row>
    <row r="396" spans="1:15" x14ac:dyDescent="0.3">
      <c r="A396" t="s">
        <v>427</v>
      </c>
      <c r="B396" s="1">
        <v>46215</v>
      </c>
      <c r="C396" t="s">
        <v>28</v>
      </c>
      <c r="D396" t="s">
        <v>34</v>
      </c>
      <c r="E396" t="s">
        <v>19</v>
      </c>
      <c r="F396" s="3">
        <v>7</v>
      </c>
      <c r="G396" s="4">
        <v>15213</v>
      </c>
      <c r="H396" s="4">
        <v>106491</v>
      </c>
      <c r="I396" s="4">
        <v>74175.31</v>
      </c>
      <c r="J396" s="4">
        <v>32315.69</v>
      </c>
      <c r="K396" t="s">
        <v>26</v>
      </c>
      <c r="L396" s="3">
        <f>(Table1[[#This Row],[Profit]]/Table1[[#This Row],[Sales_Amount]])*100</f>
        <v>30.345935337258545</v>
      </c>
      <c r="M396" s="4" t="str" cm="1">
        <f t="array" ref="M396">_xlfn.IFS(Table1[[#This Row],[Sales_Amount]]&gt;200000,"High",AND(Table1[[#This Row],[Sales_Amount]]&gt;100000,Table1[[#This Row],[Sales_Amount]]&lt;200000),"Medium",Table1[[#This Row],[Sales_Amount]]&lt;100000,"Low")</f>
        <v>Medium</v>
      </c>
      <c r="N396" t="str">
        <f>TEXT(Table1[[#This Row],[Order_Date]],"MMMM")</f>
        <v>July</v>
      </c>
      <c r="O396">
        <f>YEAR(Table1[[#This Row],[Order_Date]])</f>
        <v>2026</v>
      </c>
    </row>
    <row r="397" spans="1:15" x14ac:dyDescent="0.3">
      <c r="A397" t="s">
        <v>428</v>
      </c>
      <c r="B397" s="1">
        <v>46216</v>
      </c>
      <c r="C397" t="s">
        <v>17</v>
      </c>
      <c r="D397" t="s">
        <v>13</v>
      </c>
      <c r="E397" t="s">
        <v>25</v>
      </c>
      <c r="F397" s="3">
        <v>6</v>
      </c>
      <c r="G397" s="4">
        <v>8325</v>
      </c>
      <c r="H397" s="4">
        <v>49950</v>
      </c>
      <c r="I397" s="4">
        <v>37493.08</v>
      </c>
      <c r="J397" s="4">
        <v>12456.92</v>
      </c>
      <c r="K397" t="s">
        <v>23</v>
      </c>
      <c r="L397" s="3">
        <f>(Table1[[#This Row],[Profit]]/Table1[[#This Row],[Sales_Amount]])*100</f>
        <v>24.938778778778779</v>
      </c>
      <c r="M397" s="4" t="str" cm="1">
        <f t="array" ref="M397">_xlfn.IFS(Table1[[#This Row],[Sales_Amount]]&gt;200000,"High",AND(Table1[[#This Row],[Sales_Amount]]&gt;100000,Table1[[#This Row],[Sales_Amount]]&lt;200000),"Medium",Table1[[#This Row],[Sales_Amount]]&lt;100000,"Low")</f>
        <v>Low</v>
      </c>
      <c r="N397" t="str">
        <f>TEXT(Table1[[#This Row],[Order_Date]],"MMMM")</f>
        <v>July</v>
      </c>
      <c r="O397">
        <f>YEAR(Table1[[#This Row],[Order_Date]])</f>
        <v>2026</v>
      </c>
    </row>
    <row r="398" spans="1:15" x14ac:dyDescent="0.3">
      <c r="A398" t="s">
        <v>429</v>
      </c>
      <c r="B398" s="1">
        <v>46217</v>
      </c>
      <c r="C398" t="s">
        <v>40</v>
      </c>
      <c r="D398" t="s">
        <v>44</v>
      </c>
      <c r="E398" t="s">
        <v>14</v>
      </c>
      <c r="F398" s="3">
        <v>7</v>
      </c>
      <c r="G398" s="4">
        <v>5017</v>
      </c>
      <c r="H398" s="4">
        <v>35119</v>
      </c>
      <c r="I398" s="4">
        <v>30311.119999999999</v>
      </c>
      <c r="J398" s="4">
        <v>4807.88</v>
      </c>
      <c r="K398" t="s">
        <v>26</v>
      </c>
      <c r="L398" s="3">
        <f>(Table1[[#This Row],[Profit]]/Table1[[#This Row],[Sales_Amount]])*100</f>
        <v>13.690253139326291</v>
      </c>
      <c r="M398" s="4" t="str" cm="1">
        <f t="array" ref="M398">_xlfn.IFS(Table1[[#This Row],[Sales_Amount]]&gt;200000,"High",AND(Table1[[#This Row],[Sales_Amount]]&gt;100000,Table1[[#This Row],[Sales_Amount]]&lt;200000),"Medium",Table1[[#This Row],[Sales_Amount]]&lt;100000,"Low")</f>
        <v>Low</v>
      </c>
      <c r="N398" t="str">
        <f>TEXT(Table1[[#This Row],[Order_Date]],"MMMM")</f>
        <v>July</v>
      </c>
      <c r="O398">
        <f>YEAR(Table1[[#This Row],[Order_Date]])</f>
        <v>2026</v>
      </c>
    </row>
    <row r="399" spans="1:15" x14ac:dyDescent="0.3">
      <c r="A399" t="s">
        <v>430</v>
      </c>
      <c r="B399" s="1">
        <v>46218</v>
      </c>
      <c r="C399" t="s">
        <v>40</v>
      </c>
      <c r="D399" t="s">
        <v>44</v>
      </c>
      <c r="E399" t="s">
        <v>25</v>
      </c>
      <c r="F399" s="3">
        <v>8</v>
      </c>
      <c r="G399" s="4">
        <v>1022</v>
      </c>
      <c r="H399" s="4">
        <v>8176</v>
      </c>
      <c r="I399" s="4">
        <v>5810.49</v>
      </c>
      <c r="J399" s="4">
        <v>2365.5100000000002</v>
      </c>
      <c r="K399" t="s">
        <v>23</v>
      </c>
      <c r="L399" s="3">
        <f>(Table1[[#This Row],[Profit]]/Table1[[#This Row],[Sales_Amount]])*100</f>
        <v>28.93236301369863</v>
      </c>
      <c r="M399" s="4" t="str" cm="1">
        <f t="array" ref="M399">_xlfn.IFS(Table1[[#This Row],[Sales_Amount]]&gt;200000,"High",AND(Table1[[#This Row],[Sales_Amount]]&gt;100000,Table1[[#This Row],[Sales_Amount]]&lt;200000),"Medium",Table1[[#This Row],[Sales_Amount]]&lt;100000,"Low")</f>
        <v>Low</v>
      </c>
      <c r="N399" t="str">
        <f>TEXT(Table1[[#This Row],[Order_Date]],"MMMM")</f>
        <v>July</v>
      </c>
      <c r="O399">
        <f>YEAR(Table1[[#This Row],[Order_Date]])</f>
        <v>2026</v>
      </c>
    </row>
    <row r="400" spans="1:15" x14ac:dyDescent="0.3">
      <c r="A400" t="s">
        <v>431</v>
      </c>
      <c r="B400" s="1">
        <v>46219</v>
      </c>
      <c r="C400" t="s">
        <v>12</v>
      </c>
      <c r="D400" t="s">
        <v>51</v>
      </c>
      <c r="E400" t="s">
        <v>32</v>
      </c>
      <c r="F400" s="3">
        <v>10</v>
      </c>
      <c r="G400" s="4">
        <v>32832</v>
      </c>
      <c r="H400" s="4">
        <v>328320</v>
      </c>
      <c r="I400" s="4">
        <v>295270.03999999998</v>
      </c>
      <c r="J400" s="4">
        <v>33049.96</v>
      </c>
      <c r="K400" t="s">
        <v>23</v>
      </c>
      <c r="L400" s="3">
        <f>(Table1[[#This Row],[Profit]]/Table1[[#This Row],[Sales_Amount]])*100</f>
        <v>10.066386452241716</v>
      </c>
      <c r="M400" s="4" t="str" cm="1">
        <f t="array" ref="M400">_xlfn.IFS(Table1[[#This Row],[Sales_Amount]]&gt;200000,"High",AND(Table1[[#This Row],[Sales_Amount]]&gt;100000,Table1[[#This Row],[Sales_Amount]]&lt;200000),"Medium",Table1[[#This Row],[Sales_Amount]]&lt;100000,"Low")</f>
        <v>High</v>
      </c>
      <c r="N400" t="str">
        <f>TEXT(Table1[[#This Row],[Order_Date]],"MMMM")</f>
        <v>July</v>
      </c>
      <c r="O400">
        <f>YEAR(Table1[[#This Row],[Order_Date]])</f>
        <v>2026</v>
      </c>
    </row>
    <row r="401" spans="1:15" x14ac:dyDescent="0.3">
      <c r="A401" t="s">
        <v>432</v>
      </c>
      <c r="B401" s="1">
        <v>46220</v>
      </c>
      <c r="C401" t="s">
        <v>17</v>
      </c>
      <c r="D401" t="s">
        <v>34</v>
      </c>
      <c r="E401" t="s">
        <v>37</v>
      </c>
      <c r="F401" s="3">
        <v>1</v>
      </c>
      <c r="G401" s="4">
        <v>15769</v>
      </c>
      <c r="H401" s="4">
        <v>15769</v>
      </c>
      <c r="I401" s="4">
        <v>12023.29</v>
      </c>
      <c r="J401" s="4">
        <v>3745.71</v>
      </c>
      <c r="K401" t="s">
        <v>15</v>
      </c>
      <c r="L401" s="3">
        <f>(Table1[[#This Row],[Profit]]/Table1[[#This Row],[Sales_Amount]])*100</f>
        <v>23.753630540934743</v>
      </c>
      <c r="M401" s="4" t="str" cm="1">
        <f t="array" ref="M401">_xlfn.IFS(Table1[[#This Row],[Sales_Amount]]&gt;200000,"High",AND(Table1[[#This Row],[Sales_Amount]]&gt;100000,Table1[[#This Row],[Sales_Amount]]&lt;200000),"Medium",Table1[[#This Row],[Sales_Amount]]&lt;100000,"Low")</f>
        <v>Low</v>
      </c>
      <c r="N401" t="str">
        <f>TEXT(Table1[[#This Row],[Order_Date]],"MMMM")</f>
        <v>July</v>
      </c>
      <c r="O401">
        <f>YEAR(Table1[[#This Row],[Order_Date]])</f>
        <v>2026</v>
      </c>
    </row>
    <row r="402" spans="1:15" x14ac:dyDescent="0.3">
      <c r="A402" t="s">
        <v>433</v>
      </c>
      <c r="B402" s="1">
        <v>46221</v>
      </c>
      <c r="C402" t="s">
        <v>12</v>
      </c>
      <c r="D402" t="s">
        <v>21</v>
      </c>
      <c r="E402" t="s">
        <v>37</v>
      </c>
      <c r="F402" s="3">
        <v>5</v>
      </c>
      <c r="G402" s="4">
        <v>7312</v>
      </c>
      <c r="H402" s="4">
        <v>36560</v>
      </c>
      <c r="I402" s="4">
        <v>24186.57</v>
      </c>
      <c r="J402" s="4">
        <v>12373.43</v>
      </c>
      <c r="K402" t="s">
        <v>58</v>
      </c>
      <c r="L402" s="3">
        <f>(Table1[[#This Row],[Profit]]/Table1[[#This Row],[Sales_Amount]])*100</f>
        <v>33.844173960612693</v>
      </c>
      <c r="M402" s="4" t="str" cm="1">
        <f t="array" ref="M402">_xlfn.IFS(Table1[[#This Row],[Sales_Amount]]&gt;200000,"High",AND(Table1[[#This Row],[Sales_Amount]]&gt;100000,Table1[[#This Row],[Sales_Amount]]&lt;200000),"Medium",Table1[[#This Row],[Sales_Amount]]&lt;100000,"Low")</f>
        <v>Low</v>
      </c>
      <c r="N402" t="str">
        <f>TEXT(Table1[[#This Row],[Order_Date]],"MMMM")</f>
        <v>July</v>
      </c>
      <c r="O402">
        <f>YEAR(Table1[[#This Row],[Order_Date]])</f>
        <v>2026</v>
      </c>
    </row>
    <row r="403" spans="1:15" x14ac:dyDescent="0.3">
      <c r="A403" t="s">
        <v>434</v>
      </c>
      <c r="B403" s="1">
        <v>46222</v>
      </c>
      <c r="C403" t="s">
        <v>12</v>
      </c>
      <c r="D403" t="s">
        <v>21</v>
      </c>
      <c r="E403" t="s">
        <v>22</v>
      </c>
      <c r="F403" s="3">
        <v>5</v>
      </c>
      <c r="G403" s="4">
        <v>6596</v>
      </c>
      <c r="H403" s="4">
        <v>32980</v>
      </c>
      <c r="I403" s="4">
        <v>20222.349999999999</v>
      </c>
      <c r="J403" s="4">
        <v>12757.65</v>
      </c>
      <c r="K403" t="s">
        <v>26</v>
      </c>
      <c r="L403" s="3">
        <f>(Table1[[#This Row],[Profit]]/Table1[[#This Row],[Sales_Amount]])*100</f>
        <v>38.682989690721648</v>
      </c>
      <c r="M403" s="4" t="str" cm="1">
        <f t="array" ref="M403">_xlfn.IFS(Table1[[#This Row],[Sales_Amount]]&gt;200000,"High",AND(Table1[[#This Row],[Sales_Amount]]&gt;100000,Table1[[#This Row],[Sales_Amount]]&lt;200000),"Medium",Table1[[#This Row],[Sales_Amount]]&lt;100000,"Low")</f>
        <v>Low</v>
      </c>
      <c r="N403" t="str">
        <f>TEXT(Table1[[#This Row],[Order_Date]],"MMMM")</f>
        <v>July</v>
      </c>
      <c r="O403">
        <f>YEAR(Table1[[#This Row],[Order_Date]])</f>
        <v>2026</v>
      </c>
    </row>
    <row r="404" spans="1:15" x14ac:dyDescent="0.3">
      <c r="A404" t="s">
        <v>435</v>
      </c>
      <c r="B404" s="1">
        <v>46223</v>
      </c>
      <c r="C404" t="s">
        <v>12</v>
      </c>
      <c r="D404" t="s">
        <v>21</v>
      </c>
      <c r="E404" t="s">
        <v>19</v>
      </c>
      <c r="F404" s="3">
        <v>2</v>
      </c>
      <c r="G404" s="4">
        <v>38561</v>
      </c>
      <c r="H404" s="4">
        <v>77122</v>
      </c>
      <c r="I404" s="4">
        <v>48484.53</v>
      </c>
      <c r="J404" s="4">
        <v>28637.47</v>
      </c>
      <c r="K404" t="s">
        <v>15</v>
      </c>
      <c r="L404" s="3">
        <f>(Table1[[#This Row],[Profit]]/Table1[[#This Row],[Sales_Amount]])*100</f>
        <v>37.132685874328985</v>
      </c>
      <c r="M404" s="4" t="str" cm="1">
        <f t="array" ref="M404">_xlfn.IFS(Table1[[#This Row],[Sales_Amount]]&gt;200000,"High",AND(Table1[[#This Row],[Sales_Amount]]&gt;100000,Table1[[#This Row],[Sales_Amount]]&lt;200000),"Medium",Table1[[#This Row],[Sales_Amount]]&lt;100000,"Low")</f>
        <v>Low</v>
      </c>
      <c r="N404" t="str">
        <f>TEXT(Table1[[#This Row],[Order_Date]],"MMMM")</f>
        <v>July</v>
      </c>
      <c r="O404">
        <f>YEAR(Table1[[#This Row],[Order_Date]])</f>
        <v>2026</v>
      </c>
    </row>
    <row r="405" spans="1:15" x14ac:dyDescent="0.3">
      <c r="A405" t="s">
        <v>436</v>
      </c>
      <c r="B405" s="1">
        <v>46224</v>
      </c>
      <c r="C405" t="s">
        <v>12</v>
      </c>
      <c r="D405" t="s">
        <v>51</v>
      </c>
      <c r="E405" t="s">
        <v>25</v>
      </c>
      <c r="F405" s="3">
        <v>1</v>
      </c>
      <c r="G405" s="4">
        <v>29007</v>
      </c>
      <c r="H405" s="4">
        <v>29007</v>
      </c>
      <c r="I405" s="4">
        <v>23168.85</v>
      </c>
      <c r="J405" s="4">
        <v>5838.15</v>
      </c>
      <c r="K405" t="s">
        <v>26</v>
      </c>
      <c r="L405" s="3">
        <f>(Table1[[#This Row],[Profit]]/Table1[[#This Row],[Sales_Amount]])*100</f>
        <v>20.126693556727684</v>
      </c>
      <c r="M405" s="4" t="str" cm="1">
        <f t="array" ref="M405">_xlfn.IFS(Table1[[#This Row],[Sales_Amount]]&gt;200000,"High",AND(Table1[[#This Row],[Sales_Amount]]&gt;100000,Table1[[#This Row],[Sales_Amount]]&lt;200000),"Medium",Table1[[#This Row],[Sales_Amount]]&lt;100000,"Low")</f>
        <v>Low</v>
      </c>
      <c r="N405" t="str">
        <f>TEXT(Table1[[#This Row],[Order_Date]],"MMMM")</f>
        <v>July</v>
      </c>
      <c r="O405">
        <f>YEAR(Table1[[#This Row],[Order_Date]])</f>
        <v>2026</v>
      </c>
    </row>
    <row r="406" spans="1:15" x14ac:dyDescent="0.3">
      <c r="A406" t="s">
        <v>437</v>
      </c>
      <c r="B406" s="1">
        <v>46225</v>
      </c>
      <c r="C406" t="s">
        <v>40</v>
      </c>
      <c r="D406" t="s">
        <v>34</v>
      </c>
      <c r="E406" t="s">
        <v>32</v>
      </c>
      <c r="F406" s="3">
        <v>7</v>
      </c>
      <c r="G406" s="4">
        <v>46422</v>
      </c>
      <c r="H406" s="4">
        <v>324954</v>
      </c>
      <c r="I406" s="4">
        <v>276071.15000000002</v>
      </c>
      <c r="J406" s="4">
        <v>48882.85</v>
      </c>
      <c r="K406" t="s">
        <v>58</v>
      </c>
      <c r="L406" s="3">
        <f>(Table1[[#This Row],[Profit]]/Table1[[#This Row],[Sales_Amount]])*100</f>
        <v>15.043006087015392</v>
      </c>
      <c r="M406" s="4" t="str" cm="1">
        <f t="array" ref="M406">_xlfn.IFS(Table1[[#This Row],[Sales_Amount]]&gt;200000,"High",AND(Table1[[#This Row],[Sales_Amount]]&gt;100000,Table1[[#This Row],[Sales_Amount]]&lt;200000),"Medium",Table1[[#This Row],[Sales_Amount]]&lt;100000,"Low")</f>
        <v>High</v>
      </c>
      <c r="N406" t="str">
        <f>TEXT(Table1[[#This Row],[Order_Date]],"MMMM")</f>
        <v>July</v>
      </c>
      <c r="O406">
        <f>YEAR(Table1[[#This Row],[Order_Date]])</f>
        <v>2026</v>
      </c>
    </row>
    <row r="407" spans="1:15" x14ac:dyDescent="0.3">
      <c r="A407" t="s">
        <v>438</v>
      </c>
      <c r="B407" s="1">
        <v>46226</v>
      </c>
      <c r="C407" t="s">
        <v>17</v>
      </c>
      <c r="D407" t="s">
        <v>13</v>
      </c>
      <c r="E407" t="s">
        <v>22</v>
      </c>
      <c r="F407" s="3">
        <v>2</v>
      </c>
      <c r="G407" s="4">
        <v>13784</v>
      </c>
      <c r="H407" s="4">
        <v>27568</v>
      </c>
      <c r="I407" s="4">
        <v>17666.5</v>
      </c>
      <c r="J407" s="4">
        <v>9901.5</v>
      </c>
      <c r="K407" t="s">
        <v>15</v>
      </c>
      <c r="L407" s="3">
        <f>(Table1[[#This Row],[Profit]]/Table1[[#This Row],[Sales_Amount]])*100</f>
        <v>35.916642484039471</v>
      </c>
      <c r="M407" s="4" t="str" cm="1">
        <f t="array" ref="M407">_xlfn.IFS(Table1[[#This Row],[Sales_Amount]]&gt;200000,"High",AND(Table1[[#This Row],[Sales_Amount]]&gt;100000,Table1[[#This Row],[Sales_Amount]]&lt;200000),"Medium",Table1[[#This Row],[Sales_Amount]]&lt;100000,"Low")</f>
        <v>Low</v>
      </c>
      <c r="N407" t="str">
        <f>TEXT(Table1[[#This Row],[Order_Date]],"MMMM")</f>
        <v>July</v>
      </c>
      <c r="O407">
        <f>YEAR(Table1[[#This Row],[Order_Date]])</f>
        <v>2026</v>
      </c>
    </row>
    <row r="408" spans="1:15" x14ac:dyDescent="0.3">
      <c r="A408" t="s">
        <v>439</v>
      </c>
      <c r="B408" s="1">
        <v>46227</v>
      </c>
      <c r="C408" t="s">
        <v>40</v>
      </c>
      <c r="D408" t="s">
        <v>51</v>
      </c>
      <c r="E408" t="s">
        <v>37</v>
      </c>
      <c r="F408" s="3">
        <v>8</v>
      </c>
      <c r="G408" s="4">
        <v>21080</v>
      </c>
      <c r="H408" s="4">
        <v>168640</v>
      </c>
      <c r="I408" s="4">
        <v>121750.28</v>
      </c>
      <c r="J408" s="4">
        <v>46889.72</v>
      </c>
      <c r="K408" t="s">
        <v>58</v>
      </c>
      <c r="L408" s="3">
        <f>(Table1[[#This Row],[Profit]]/Table1[[#This Row],[Sales_Amount]])*100</f>
        <v>27.804625237191651</v>
      </c>
      <c r="M408" s="4" t="str" cm="1">
        <f t="array" ref="M408">_xlfn.IFS(Table1[[#This Row],[Sales_Amount]]&gt;200000,"High",AND(Table1[[#This Row],[Sales_Amount]]&gt;100000,Table1[[#This Row],[Sales_Amount]]&lt;200000),"Medium",Table1[[#This Row],[Sales_Amount]]&lt;100000,"Low")</f>
        <v>Medium</v>
      </c>
      <c r="N408" t="str">
        <f>TEXT(Table1[[#This Row],[Order_Date]],"MMMM")</f>
        <v>July</v>
      </c>
      <c r="O408">
        <f>YEAR(Table1[[#This Row],[Order_Date]])</f>
        <v>2026</v>
      </c>
    </row>
    <row r="409" spans="1:15" x14ac:dyDescent="0.3">
      <c r="A409" t="s">
        <v>440</v>
      </c>
      <c r="B409" s="1">
        <v>46228</v>
      </c>
      <c r="C409" t="s">
        <v>40</v>
      </c>
      <c r="D409" t="s">
        <v>18</v>
      </c>
      <c r="E409" t="s">
        <v>37</v>
      </c>
      <c r="F409" s="3">
        <v>5</v>
      </c>
      <c r="G409" s="4">
        <v>8358</v>
      </c>
      <c r="H409" s="4">
        <v>41790</v>
      </c>
      <c r="I409" s="4">
        <v>26207.61</v>
      </c>
      <c r="J409" s="4">
        <v>15582.39</v>
      </c>
      <c r="K409" t="s">
        <v>23</v>
      </c>
      <c r="L409" s="3">
        <f>(Table1[[#This Row],[Profit]]/Table1[[#This Row],[Sales_Amount]])*100</f>
        <v>37.287365398420675</v>
      </c>
      <c r="M409" s="4" t="str" cm="1">
        <f t="array" ref="M409">_xlfn.IFS(Table1[[#This Row],[Sales_Amount]]&gt;200000,"High",AND(Table1[[#This Row],[Sales_Amount]]&gt;100000,Table1[[#This Row],[Sales_Amount]]&lt;200000),"Medium",Table1[[#This Row],[Sales_Amount]]&lt;100000,"Low")</f>
        <v>Low</v>
      </c>
      <c r="N409" t="str">
        <f>TEXT(Table1[[#This Row],[Order_Date]],"MMMM")</f>
        <v>July</v>
      </c>
      <c r="O409">
        <f>YEAR(Table1[[#This Row],[Order_Date]])</f>
        <v>2026</v>
      </c>
    </row>
    <row r="410" spans="1:15" x14ac:dyDescent="0.3">
      <c r="A410" t="s">
        <v>441</v>
      </c>
      <c r="B410" s="1">
        <v>46229</v>
      </c>
      <c r="C410" t="s">
        <v>40</v>
      </c>
      <c r="D410" t="s">
        <v>21</v>
      </c>
      <c r="E410" t="s">
        <v>22</v>
      </c>
      <c r="F410" s="3">
        <v>2</v>
      </c>
      <c r="G410" s="4">
        <v>47106</v>
      </c>
      <c r="H410" s="4">
        <v>94212</v>
      </c>
      <c r="I410" s="4">
        <v>63542.76</v>
      </c>
      <c r="J410" s="4">
        <v>30669.24</v>
      </c>
      <c r="K410" t="s">
        <v>15</v>
      </c>
      <c r="L410" s="3">
        <f>(Table1[[#This Row],[Profit]]/Table1[[#This Row],[Sales_Amount]])*100</f>
        <v>32.553432683734556</v>
      </c>
      <c r="M410" s="4" t="str" cm="1">
        <f t="array" ref="M410">_xlfn.IFS(Table1[[#This Row],[Sales_Amount]]&gt;200000,"High",AND(Table1[[#This Row],[Sales_Amount]]&gt;100000,Table1[[#This Row],[Sales_Amount]]&lt;200000),"Medium",Table1[[#This Row],[Sales_Amount]]&lt;100000,"Low")</f>
        <v>Low</v>
      </c>
      <c r="N410" t="str">
        <f>TEXT(Table1[[#This Row],[Order_Date]],"MMMM")</f>
        <v>July</v>
      </c>
      <c r="O410">
        <f>YEAR(Table1[[#This Row],[Order_Date]])</f>
        <v>2026</v>
      </c>
    </row>
    <row r="411" spans="1:15" x14ac:dyDescent="0.3">
      <c r="A411" t="s">
        <v>442</v>
      </c>
      <c r="B411" s="1">
        <v>46230</v>
      </c>
      <c r="C411" t="s">
        <v>28</v>
      </c>
      <c r="D411" t="s">
        <v>56</v>
      </c>
      <c r="E411" t="s">
        <v>32</v>
      </c>
      <c r="F411" s="3">
        <v>5</v>
      </c>
      <c r="G411" s="4">
        <v>11894</v>
      </c>
      <c r="H411" s="4">
        <v>59470</v>
      </c>
      <c r="I411" s="4">
        <v>36236.54</v>
      </c>
      <c r="J411" s="4">
        <v>23233.46</v>
      </c>
      <c r="K411" t="s">
        <v>23</v>
      </c>
      <c r="L411" s="3">
        <f>(Table1[[#This Row],[Profit]]/Table1[[#This Row],[Sales_Amount]])*100</f>
        <v>39.067529846981671</v>
      </c>
      <c r="M411" s="4" t="str" cm="1">
        <f t="array" ref="M411">_xlfn.IFS(Table1[[#This Row],[Sales_Amount]]&gt;200000,"High",AND(Table1[[#This Row],[Sales_Amount]]&gt;100000,Table1[[#This Row],[Sales_Amount]]&lt;200000),"Medium",Table1[[#This Row],[Sales_Amount]]&lt;100000,"Low")</f>
        <v>Low</v>
      </c>
      <c r="N411" t="str">
        <f>TEXT(Table1[[#This Row],[Order_Date]],"MMMM")</f>
        <v>July</v>
      </c>
      <c r="O411">
        <f>YEAR(Table1[[#This Row],[Order_Date]])</f>
        <v>2026</v>
      </c>
    </row>
    <row r="412" spans="1:15" x14ac:dyDescent="0.3">
      <c r="A412" t="s">
        <v>443</v>
      </c>
      <c r="B412" s="1">
        <v>46231</v>
      </c>
      <c r="C412" t="s">
        <v>17</v>
      </c>
      <c r="D412" t="s">
        <v>51</v>
      </c>
      <c r="E412" t="s">
        <v>37</v>
      </c>
      <c r="F412" s="3">
        <v>2</v>
      </c>
      <c r="G412" s="4">
        <v>9661</v>
      </c>
      <c r="H412" s="4">
        <v>19322</v>
      </c>
      <c r="I412" s="4">
        <v>12297.22</v>
      </c>
      <c r="J412" s="4">
        <v>7024.78</v>
      </c>
      <c r="K412" t="s">
        <v>23</v>
      </c>
      <c r="L412" s="3">
        <f>(Table1[[#This Row],[Profit]]/Table1[[#This Row],[Sales_Amount]])*100</f>
        <v>36.356381326984781</v>
      </c>
      <c r="M412" s="4" t="str" cm="1">
        <f t="array" ref="M412">_xlfn.IFS(Table1[[#This Row],[Sales_Amount]]&gt;200000,"High",AND(Table1[[#This Row],[Sales_Amount]]&gt;100000,Table1[[#This Row],[Sales_Amount]]&lt;200000),"Medium",Table1[[#This Row],[Sales_Amount]]&lt;100000,"Low")</f>
        <v>Low</v>
      </c>
      <c r="N412" t="str">
        <f>TEXT(Table1[[#This Row],[Order_Date]],"MMMM")</f>
        <v>July</v>
      </c>
      <c r="O412">
        <f>YEAR(Table1[[#This Row],[Order_Date]])</f>
        <v>2026</v>
      </c>
    </row>
    <row r="413" spans="1:15" x14ac:dyDescent="0.3">
      <c r="A413" t="s">
        <v>444</v>
      </c>
      <c r="B413" s="1">
        <v>46232</v>
      </c>
      <c r="C413" t="s">
        <v>17</v>
      </c>
      <c r="D413" t="s">
        <v>44</v>
      </c>
      <c r="E413" t="s">
        <v>37</v>
      </c>
      <c r="F413" s="3">
        <v>6</v>
      </c>
      <c r="G413" s="4">
        <v>45476</v>
      </c>
      <c r="H413" s="4">
        <v>272856</v>
      </c>
      <c r="I413" s="4">
        <v>215307.74</v>
      </c>
      <c r="J413" s="4">
        <v>57548.26</v>
      </c>
      <c r="K413" t="s">
        <v>15</v>
      </c>
      <c r="L413" s="3">
        <f>(Table1[[#This Row],[Profit]]/Table1[[#This Row],[Sales_Amount]])*100</f>
        <v>21.09107367988976</v>
      </c>
      <c r="M413" s="4" t="str" cm="1">
        <f t="array" ref="M413">_xlfn.IFS(Table1[[#This Row],[Sales_Amount]]&gt;200000,"High",AND(Table1[[#This Row],[Sales_Amount]]&gt;100000,Table1[[#This Row],[Sales_Amount]]&lt;200000),"Medium",Table1[[#This Row],[Sales_Amount]]&lt;100000,"Low")</f>
        <v>High</v>
      </c>
      <c r="N413" t="str">
        <f>TEXT(Table1[[#This Row],[Order_Date]],"MMMM")</f>
        <v>July</v>
      </c>
      <c r="O413">
        <f>YEAR(Table1[[#This Row],[Order_Date]])</f>
        <v>2026</v>
      </c>
    </row>
    <row r="414" spans="1:15" x14ac:dyDescent="0.3">
      <c r="A414" t="s">
        <v>445</v>
      </c>
      <c r="B414" s="1">
        <v>46233</v>
      </c>
      <c r="C414" t="s">
        <v>12</v>
      </c>
      <c r="D414" t="s">
        <v>29</v>
      </c>
      <c r="E414" t="s">
        <v>14</v>
      </c>
      <c r="F414" s="3">
        <v>4</v>
      </c>
      <c r="G414" s="4">
        <v>42835</v>
      </c>
      <c r="H414" s="4">
        <v>171340</v>
      </c>
      <c r="I414" s="4">
        <v>125597.26</v>
      </c>
      <c r="J414" s="4">
        <v>45742.74</v>
      </c>
      <c r="K414" t="s">
        <v>26</v>
      </c>
      <c r="L414" s="3">
        <f>(Table1[[#This Row],[Profit]]/Table1[[#This Row],[Sales_Amount]])*100</f>
        <v>26.697058480214775</v>
      </c>
      <c r="M414" s="4" t="str" cm="1">
        <f t="array" ref="M414">_xlfn.IFS(Table1[[#This Row],[Sales_Amount]]&gt;200000,"High",AND(Table1[[#This Row],[Sales_Amount]]&gt;100000,Table1[[#This Row],[Sales_Amount]]&lt;200000),"Medium",Table1[[#This Row],[Sales_Amount]]&lt;100000,"Low")</f>
        <v>Medium</v>
      </c>
      <c r="N414" t="str">
        <f>TEXT(Table1[[#This Row],[Order_Date]],"MMMM")</f>
        <v>July</v>
      </c>
      <c r="O414">
        <f>YEAR(Table1[[#This Row],[Order_Date]])</f>
        <v>2026</v>
      </c>
    </row>
    <row r="415" spans="1:15" x14ac:dyDescent="0.3">
      <c r="A415" t="s">
        <v>446</v>
      </c>
      <c r="B415" s="1">
        <v>46234</v>
      </c>
      <c r="C415" t="s">
        <v>28</v>
      </c>
      <c r="D415" t="s">
        <v>21</v>
      </c>
      <c r="E415" t="s">
        <v>14</v>
      </c>
      <c r="F415" s="3">
        <v>8</v>
      </c>
      <c r="G415" s="4">
        <v>3818</v>
      </c>
      <c r="H415" s="4">
        <v>30544</v>
      </c>
      <c r="I415" s="4">
        <v>19865.72</v>
      </c>
      <c r="J415" s="4">
        <v>10678.28</v>
      </c>
      <c r="K415" t="s">
        <v>58</v>
      </c>
      <c r="L415" s="3">
        <f>(Table1[[#This Row],[Profit]]/Table1[[#This Row],[Sales_Amount]])*100</f>
        <v>34.960319539025669</v>
      </c>
      <c r="M415" s="4" t="str" cm="1">
        <f t="array" ref="M415">_xlfn.IFS(Table1[[#This Row],[Sales_Amount]]&gt;200000,"High",AND(Table1[[#This Row],[Sales_Amount]]&gt;100000,Table1[[#This Row],[Sales_Amount]]&lt;200000),"Medium",Table1[[#This Row],[Sales_Amount]]&lt;100000,"Low")</f>
        <v>Low</v>
      </c>
      <c r="N415" t="str">
        <f>TEXT(Table1[[#This Row],[Order_Date]],"MMMM")</f>
        <v>July</v>
      </c>
      <c r="O415">
        <f>YEAR(Table1[[#This Row],[Order_Date]])</f>
        <v>2026</v>
      </c>
    </row>
    <row r="416" spans="1:15" x14ac:dyDescent="0.3">
      <c r="A416" t="s">
        <v>447</v>
      </c>
      <c r="B416" s="1">
        <v>46235</v>
      </c>
      <c r="C416" t="s">
        <v>12</v>
      </c>
      <c r="D416" t="s">
        <v>44</v>
      </c>
      <c r="E416" t="s">
        <v>37</v>
      </c>
      <c r="F416" s="3">
        <v>7</v>
      </c>
      <c r="G416" s="4">
        <v>11825</v>
      </c>
      <c r="H416" s="4">
        <v>82775</v>
      </c>
      <c r="I416" s="4">
        <v>58454.3</v>
      </c>
      <c r="J416" s="4">
        <v>24320.7</v>
      </c>
      <c r="K416" t="s">
        <v>26</v>
      </c>
      <c r="L416" s="3">
        <f>(Table1[[#This Row],[Profit]]/Table1[[#This Row],[Sales_Amount]])*100</f>
        <v>29.381697372395049</v>
      </c>
      <c r="M416" s="4" t="str" cm="1">
        <f t="array" ref="M416">_xlfn.IFS(Table1[[#This Row],[Sales_Amount]]&gt;200000,"High",AND(Table1[[#This Row],[Sales_Amount]]&gt;100000,Table1[[#This Row],[Sales_Amount]]&lt;200000),"Medium",Table1[[#This Row],[Sales_Amount]]&lt;100000,"Low")</f>
        <v>Low</v>
      </c>
      <c r="N416" t="str">
        <f>TEXT(Table1[[#This Row],[Order_Date]],"MMMM")</f>
        <v>August</v>
      </c>
      <c r="O416">
        <f>YEAR(Table1[[#This Row],[Order_Date]])</f>
        <v>2026</v>
      </c>
    </row>
    <row r="417" spans="1:15" x14ac:dyDescent="0.3">
      <c r="A417" t="s">
        <v>448</v>
      </c>
      <c r="B417" s="1">
        <v>46236</v>
      </c>
      <c r="C417" t="s">
        <v>12</v>
      </c>
      <c r="D417" t="s">
        <v>44</v>
      </c>
      <c r="E417" t="s">
        <v>22</v>
      </c>
      <c r="F417" s="3">
        <v>1</v>
      </c>
      <c r="G417" s="4">
        <v>40746</v>
      </c>
      <c r="H417" s="4">
        <v>40746</v>
      </c>
      <c r="I417" s="4">
        <v>32016.29</v>
      </c>
      <c r="J417" s="4">
        <v>8729.7099999999991</v>
      </c>
      <c r="K417" t="s">
        <v>58</v>
      </c>
      <c r="L417" s="3">
        <f>(Table1[[#This Row],[Profit]]/Table1[[#This Row],[Sales_Amount]])*100</f>
        <v>21.424704265449368</v>
      </c>
      <c r="M417" s="4" t="str" cm="1">
        <f t="array" ref="M417">_xlfn.IFS(Table1[[#This Row],[Sales_Amount]]&gt;200000,"High",AND(Table1[[#This Row],[Sales_Amount]]&gt;100000,Table1[[#This Row],[Sales_Amount]]&lt;200000),"Medium",Table1[[#This Row],[Sales_Amount]]&lt;100000,"Low")</f>
        <v>Low</v>
      </c>
      <c r="N417" t="str">
        <f>TEXT(Table1[[#This Row],[Order_Date]],"MMMM")</f>
        <v>August</v>
      </c>
      <c r="O417">
        <f>YEAR(Table1[[#This Row],[Order_Date]])</f>
        <v>2026</v>
      </c>
    </row>
    <row r="418" spans="1:15" x14ac:dyDescent="0.3">
      <c r="A418" t="s">
        <v>449</v>
      </c>
      <c r="B418" s="1">
        <v>46237</v>
      </c>
      <c r="C418" t="s">
        <v>28</v>
      </c>
      <c r="D418" t="s">
        <v>13</v>
      </c>
      <c r="E418" t="s">
        <v>25</v>
      </c>
      <c r="F418" s="3">
        <v>8</v>
      </c>
      <c r="G418" s="4">
        <v>4496</v>
      </c>
      <c r="H418" s="4">
        <v>35968</v>
      </c>
      <c r="I418" s="4">
        <v>22527.35</v>
      </c>
      <c r="J418" s="4">
        <v>13440.65</v>
      </c>
      <c r="K418" t="s">
        <v>58</v>
      </c>
      <c r="L418" s="3">
        <f>(Table1[[#This Row],[Profit]]/Table1[[#This Row],[Sales_Amount]])*100</f>
        <v>37.368355204626333</v>
      </c>
      <c r="M418" s="4" t="str" cm="1">
        <f t="array" ref="M418">_xlfn.IFS(Table1[[#This Row],[Sales_Amount]]&gt;200000,"High",AND(Table1[[#This Row],[Sales_Amount]]&gt;100000,Table1[[#This Row],[Sales_Amount]]&lt;200000),"Medium",Table1[[#This Row],[Sales_Amount]]&lt;100000,"Low")</f>
        <v>Low</v>
      </c>
      <c r="N418" t="str">
        <f>TEXT(Table1[[#This Row],[Order_Date]],"MMMM")</f>
        <v>August</v>
      </c>
      <c r="O418">
        <f>YEAR(Table1[[#This Row],[Order_Date]])</f>
        <v>2026</v>
      </c>
    </row>
    <row r="419" spans="1:15" x14ac:dyDescent="0.3">
      <c r="A419" t="s">
        <v>450</v>
      </c>
      <c r="B419" s="1">
        <v>46238</v>
      </c>
      <c r="C419" t="s">
        <v>17</v>
      </c>
      <c r="D419" t="s">
        <v>21</v>
      </c>
      <c r="E419" t="s">
        <v>19</v>
      </c>
      <c r="F419" s="3">
        <v>9</v>
      </c>
      <c r="G419" s="4">
        <v>16828</v>
      </c>
      <c r="H419" s="4">
        <v>151452</v>
      </c>
      <c r="I419" s="4">
        <v>119529.9</v>
      </c>
      <c r="J419" s="4">
        <v>31922.1</v>
      </c>
      <c r="K419" t="s">
        <v>26</v>
      </c>
      <c r="L419" s="3">
        <f>(Table1[[#This Row],[Profit]]/Table1[[#This Row],[Sales_Amount]])*100</f>
        <v>21.07737104825291</v>
      </c>
      <c r="M419" s="4" t="str" cm="1">
        <f t="array" ref="M419">_xlfn.IFS(Table1[[#This Row],[Sales_Amount]]&gt;200000,"High",AND(Table1[[#This Row],[Sales_Amount]]&gt;100000,Table1[[#This Row],[Sales_Amount]]&lt;200000),"Medium",Table1[[#This Row],[Sales_Amount]]&lt;100000,"Low")</f>
        <v>Medium</v>
      </c>
      <c r="N419" t="str">
        <f>TEXT(Table1[[#This Row],[Order_Date]],"MMMM")</f>
        <v>August</v>
      </c>
      <c r="O419">
        <f>YEAR(Table1[[#This Row],[Order_Date]])</f>
        <v>2026</v>
      </c>
    </row>
    <row r="420" spans="1:15" x14ac:dyDescent="0.3">
      <c r="A420" t="s">
        <v>451</v>
      </c>
      <c r="B420" s="1">
        <v>46239</v>
      </c>
      <c r="C420" t="s">
        <v>40</v>
      </c>
      <c r="D420" t="s">
        <v>21</v>
      </c>
      <c r="E420" t="s">
        <v>25</v>
      </c>
      <c r="F420" s="3">
        <v>8</v>
      </c>
      <c r="G420" s="4">
        <v>23046</v>
      </c>
      <c r="H420" s="4">
        <v>184368</v>
      </c>
      <c r="I420" s="4">
        <v>161101.32999999999</v>
      </c>
      <c r="J420" s="4">
        <v>23266.67</v>
      </c>
      <c r="K420" t="s">
        <v>26</v>
      </c>
      <c r="L420" s="3">
        <f>(Table1[[#This Row],[Profit]]/Table1[[#This Row],[Sales_Amount]])*100</f>
        <v>12.619689967890304</v>
      </c>
      <c r="M420" s="4" t="str" cm="1">
        <f t="array" ref="M420">_xlfn.IFS(Table1[[#This Row],[Sales_Amount]]&gt;200000,"High",AND(Table1[[#This Row],[Sales_Amount]]&gt;100000,Table1[[#This Row],[Sales_Amount]]&lt;200000),"Medium",Table1[[#This Row],[Sales_Amount]]&lt;100000,"Low")</f>
        <v>Medium</v>
      </c>
      <c r="N420" t="str">
        <f>TEXT(Table1[[#This Row],[Order_Date]],"MMMM")</f>
        <v>August</v>
      </c>
      <c r="O420">
        <f>YEAR(Table1[[#This Row],[Order_Date]])</f>
        <v>2026</v>
      </c>
    </row>
    <row r="421" spans="1:15" x14ac:dyDescent="0.3">
      <c r="A421" t="s">
        <v>452</v>
      </c>
      <c r="B421" s="1">
        <v>46240</v>
      </c>
      <c r="C421" t="s">
        <v>40</v>
      </c>
      <c r="D421" t="s">
        <v>18</v>
      </c>
      <c r="E421" t="s">
        <v>14</v>
      </c>
      <c r="F421" s="3">
        <v>6</v>
      </c>
      <c r="G421" s="4">
        <v>39632</v>
      </c>
      <c r="H421" s="4">
        <v>237792</v>
      </c>
      <c r="I421" s="4">
        <v>158299.57</v>
      </c>
      <c r="J421" s="4">
        <v>79492.429999999993</v>
      </c>
      <c r="K421" t="s">
        <v>58</v>
      </c>
      <c r="L421" s="3">
        <f>(Table1[[#This Row],[Profit]]/Table1[[#This Row],[Sales_Amount]])*100</f>
        <v>33.429396279101056</v>
      </c>
      <c r="M421" s="4" t="str" cm="1">
        <f t="array" ref="M421">_xlfn.IFS(Table1[[#This Row],[Sales_Amount]]&gt;200000,"High",AND(Table1[[#This Row],[Sales_Amount]]&gt;100000,Table1[[#This Row],[Sales_Amount]]&lt;200000),"Medium",Table1[[#This Row],[Sales_Amount]]&lt;100000,"Low")</f>
        <v>High</v>
      </c>
      <c r="N421" t="str">
        <f>TEXT(Table1[[#This Row],[Order_Date]],"MMMM")</f>
        <v>August</v>
      </c>
      <c r="O421">
        <f>YEAR(Table1[[#This Row],[Order_Date]])</f>
        <v>2026</v>
      </c>
    </row>
    <row r="422" spans="1:15" x14ac:dyDescent="0.3">
      <c r="A422" t="s">
        <v>453</v>
      </c>
      <c r="B422" s="1">
        <v>46241</v>
      </c>
      <c r="C422" t="s">
        <v>17</v>
      </c>
      <c r="D422" t="s">
        <v>51</v>
      </c>
      <c r="E422" t="s">
        <v>32</v>
      </c>
      <c r="F422" s="3">
        <v>10</v>
      </c>
      <c r="G422" s="4">
        <v>15754</v>
      </c>
      <c r="H422" s="4">
        <v>157540</v>
      </c>
      <c r="I422" s="4">
        <v>140556.24</v>
      </c>
      <c r="J422" s="4">
        <v>16983.759999999998</v>
      </c>
      <c r="K422" t="s">
        <v>23</v>
      </c>
      <c r="L422" s="3">
        <f>(Table1[[#This Row],[Profit]]/Table1[[#This Row],[Sales_Amount]])*100</f>
        <v>10.780601751936016</v>
      </c>
      <c r="M422" s="4" t="str" cm="1">
        <f t="array" ref="M422">_xlfn.IFS(Table1[[#This Row],[Sales_Amount]]&gt;200000,"High",AND(Table1[[#This Row],[Sales_Amount]]&gt;100000,Table1[[#This Row],[Sales_Amount]]&lt;200000),"Medium",Table1[[#This Row],[Sales_Amount]]&lt;100000,"Low")</f>
        <v>Medium</v>
      </c>
      <c r="N422" t="str">
        <f>TEXT(Table1[[#This Row],[Order_Date]],"MMMM")</f>
        <v>August</v>
      </c>
      <c r="O422">
        <f>YEAR(Table1[[#This Row],[Order_Date]])</f>
        <v>2026</v>
      </c>
    </row>
    <row r="423" spans="1:15" x14ac:dyDescent="0.3">
      <c r="A423" t="s">
        <v>454</v>
      </c>
      <c r="B423" s="1">
        <v>46242</v>
      </c>
      <c r="C423" t="s">
        <v>28</v>
      </c>
      <c r="D423" t="s">
        <v>34</v>
      </c>
      <c r="E423" t="s">
        <v>25</v>
      </c>
      <c r="F423" s="3">
        <v>1</v>
      </c>
      <c r="G423" s="4">
        <v>14879</v>
      </c>
      <c r="H423" s="4">
        <v>14879</v>
      </c>
      <c r="I423" s="4">
        <v>11497.12</v>
      </c>
      <c r="J423" s="4">
        <v>3381.88</v>
      </c>
      <c r="K423" t="s">
        <v>23</v>
      </c>
      <c r="L423" s="3">
        <f>(Table1[[#This Row],[Profit]]/Table1[[#This Row],[Sales_Amount]])*100</f>
        <v>22.729215673096313</v>
      </c>
      <c r="M423" s="4" t="str" cm="1">
        <f t="array" ref="M423">_xlfn.IFS(Table1[[#This Row],[Sales_Amount]]&gt;200000,"High",AND(Table1[[#This Row],[Sales_Amount]]&gt;100000,Table1[[#This Row],[Sales_Amount]]&lt;200000),"Medium",Table1[[#This Row],[Sales_Amount]]&lt;100000,"Low")</f>
        <v>Low</v>
      </c>
      <c r="N423" t="str">
        <f>TEXT(Table1[[#This Row],[Order_Date]],"MMMM")</f>
        <v>August</v>
      </c>
      <c r="O423">
        <f>YEAR(Table1[[#This Row],[Order_Date]])</f>
        <v>2026</v>
      </c>
    </row>
    <row r="424" spans="1:15" x14ac:dyDescent="0.3">
      <c r="A424" t="s">
        <v>455</v>
      </c>
      <c r="B424" s="1">
        <v>46243</v>
      </c>
      <c r="C424" t="s">
        <v>40</v>
      </c>
      <c r="D424" t="s">
        <v>18</v>
      </c>
      <c r="E424" t="s">
        <v>22</v>
      </c>
      <c r="F424" s="3">
        <v>10</v>
      </c>
      <c r="G424" s="4">
        <v>21340</v>
      </c>
      <c r="H424" s="4">
        <v>213400</v>
      </c>
      <c r="I424" s="4">
        <v>179653.58</v>
      </c>
      <c r="J424" s="4">
        <v>33746.42</v>
      </c>
      <c r="K424" t="s">
        <v>26</v>
      </c>
      <c r="L424" s="3">
        <f>(Table1[[#This Row],[Profit]]/Table1[[#This Row],[Sales_Amount]])*100</f>
        <v>15.81369259606373</v>
      </c>
      <c r="M424" s="4" t="str" cm="1">
        <f t="array" ref="M424">_xlfn.IFS(Table1[[#This Row],[Sales_Amount]]&gt;200000,"High",AND(Table1[[#This Row],[Sales_Amount]]&gt;100000,Table1[[#This Row],[Sales_Amount]]&lt;200000),"Medium",Table1[[#This Row],[Sales_Amount]]&lt;100000,"Low")</f>
        <v>High</v>
      </c>
      <c r="N424" t="str">
        <f>TEXT(Table1[[#This Row],[Order_Date]],"MMMM")</f>
        <v>August</v>
      </c>
      <c r="O424">
        <f>YEAR(Table1[[#This Row],[Order_Date]])</f>
        <v>2026</v>
      </c>
    </row>
    <row r="425" spans="1:15" x14ac:dyDescent="0.3">
      <c r="A425" t="s">
        <v>456</v>
      </c>
      <c r="B425" s="1">
        <v>46244</v>
      </c>
      <c r="C425" t="s">
        <v>28</v>
      </c>
      <c r="D425" t="s">
        <v>44</v>
      </c>
      <c r="E425" t="s">
        <v>25</v>
      </c>
      <c r="F425" s="3">
        <v>3</v>
      </c>
      <c r="G425" s="4">
        <v>37403</v>
      </c>
      <c r="H425" s="4">
        <v>112209</v>
      </c>
      <c r="I425" s="4">
        <v>99250.04</v>
      </c>
      <c r="J425" s="4">
        <v>12958.96</v>
      </c>
      <c r="K425" t="s">
        <v>23</v>
      </c>
      <c r="L425" s="3">
        <f>(Table1[[#This Row],[Profit]]/Table1[[#This Row],[Sales_Amount]])*100</f>
        <v>11.548948836546087</v>
      </c>
      <c r="M425" s="4" t="str" cm="1">
        <f t="array" ref="M425">_xlfn.IFS(Table1[[#This Row],[Sales_Amount]]&gt;200000,"High",AND(Table1[[#This Row],[Sales_Amount]]&gt;100000,Table1[[#This Row],[Sales_Amount]]&lt;200000),"Medium",Table1[[#This Row],[Sales_Amount]]&lt;100000,"Low")</f>
        <v>Medium</v>
      </c>
      <c r="N425" t="str">
        <f>TEXT(Table1[[#This Row],[Order_Date]],"MMMM")</f>
        <v>August</v>
      </c>
      <c r="O425">
        <f>YEAR(Table1[[#This Row],[Order_Date]])</f>
        <v>2026</v>
      </c>
    </row>
    <row r="426" spans="1:15" x14ac:dyDescent="0.3">
      <c r="A426" t="s">
        <v>457</v>
      </c>
      <c r="B426" s="1">
        <v>46245</v>
      </c>
      <c r="C426" t="s">
        <v>12</v>
      </c>
      <c r="D426" t="s">
        <v>18</v>
      </c>
      <c r="E426" t="s">
        <v>14</v>
      </c>
      <c r="F426" s="3">
        <v>2</v>
      </c>
      <c r="G426" s="4">
        <v>4181</v>
      </c>
      <c r="H426" s="4">
        <v>8362</v>
      </c>
      <c r="I426" s="4">
        <v>5600.76</v>
      </c>
      <c r="J426" s="4">
        <v>2761.24</v>
      </c>
      <c r="K426" t="s">
        <v>58</v>
      </c>
      <c r="L426" s="3">
        <f>(Table1[[#This Row],[Profit]]/Table1[[#This Row],[Sales_Amount]])*100</f>
        <v>33.021286773499156</v>
      </c>
      <c r="M426" s="4" t="str" cm="1">
        <f t="array" ref="M426">_xlfn.IFS(Table1[[#This Row],[Sales_Amount]]&gt;200000,"High",AND(Table1[[#This Row],[Sales_Amount]]&gt;100000,Table1[[#This Row],[Sales_Amount]]&lt;200000),"Medium",Table1[[#This Row],[Sales_Amount]]&lt;100000,"Low")</f>
        <v>Low</v>
      </c>
      <c r="N426" t="str">
        <f>TEXT(Table1[[#This Row],[Order_Date]],"MMMM")</f>
        <v>August</v>
      </c>
      <c r="O426">
        <f>YEAR(Table1[[#This Row],[Order_Date]])</f>
        <v>2026</v>
      </c>
    </row>
    <row r="427" spans="1:15" x14ac:dyDescent="0.3">
      <c r="A427" t="s">
        <v>458</v>
      </c>
      <c r="B427" s="1">
        <v>46246</v>
      </c>
      <c r="C427" t="s">
        <v>40</v>
      </c>
      <c r="D427" t="s">
        <v>13</v>
      </c>
      <c r="E427" t="s">
        <v>32</v>
      </c>
      <c r="F427" s="3">
        <v>10</v>
      </c>
      <c r="G427" s="4">
        <v>13703</v>
      </c>
      <c r="H427" s="4">
        <v>137030</v>
      </c>
      <c r="I427" s="4">
        <v>115370.16</v>
      </c>
      <c r="J427" s="4">
        <v>21659.84</v>
      </c>
      <c r="K427" t="s">
        <v>26</v>
      </c>
      <c r="L427" s="3">
        <f>(Table1[[#This Row],[Profit]]/Table1[[#This Row],[Sales_Amount]])*100</f>
        <v>15.806640881558783</v>
      </c>
      <c r="M427" s="4" t="str" cm="1">
        <f t="array" ref="M427">_xlfn.IFS(Table1[[#This Row],[Sales_Amount]]&gt;200000,"High",AND(Table1[[#This Row],[Sales_Amount]]&gt;100000,Table1[[#This Row],[Sales_Amount]]&lt;200000),"Medium",Table1[[#This Row],[Sales_Amount]]&lt;100000,"Low")</f>
        <v>Medium</v>
      </c>
      <c r="N427" t="str">
        <f>TEXT(Table1[[#This Row],[Order_Date]],"MMMM")</f>
        <v>August</v>
      </c>
      <c r="O427">
        <f>YEAR(Table1[[#This Row],[Order_Date]])</f>
        <v>2026</v>
      </c>
    </row>
    <row r="428" spans="1:15" x14ac:dyDescent="0.3">
      <c r="A428" t="s">
        <v>459</v>
      </c>
      <c r="B428" s="1">
        <v>46247</v>
      </c>
      <c r="C428" t="s">
        <v>12</v>
      </c>
      <c r="D428" t="s">
        <v>29</v>
      </c>
      <c r="E428" t="s">
        <v>14</v>
      </c>
      <c r="F428" s="3">
        <v>3</v>
      </c>
      <c r="G428" s="4">
        <v>38944</v>
      </c>
      <c r="H428" s="4">
        <v>116832</v>
      </c>
      <c r="I428" s="4">
        <v>94798.52</v>
      </c>
      <c r="J428" s="4">
        <v>22033.48</v>
      </c>
      <c r="K428" t="s">
        <v>26</v>
      </c>
      <c r="L428" s="3">
        <f>(Table1[[#This Row],[Profit]]/Table1[[#This Row],[Sales_Amount]])*100</f>
        <v>18.859113941385921</v>
      </c>
      <c r="M428" s="4" t="str" cm="1">
        <f t="array" ref="M428">_xlfn.IFS(Table1[[#This Row],[Sales_Amount]]&gt;200000,"High",AND(Table1[[#This Row],[Sales_Amount]]&gt;100000,Table1[[#This Row],[Sales_Amount]]&lt;200000),"Medium",Table1[[#This Row],[Sales_Amount]]&lt;100000,"Low")</f>
        <v>Medium</v>
      </c>
      <c r="N428" t="str">
        <f>TEXT(Table1[[#This Row],[Order_Date]],"MMMM")</f>
        <v>August</v>
      </c>
      <c r="O428">
        <f>YEAR(Table1[[#This Row],[Order_Date]])</f>
        <v>2026</v>
      </c>
    </row>
    <row r="429" spans="1:15" x14ac:dyDescent="0.3">
      <c r="A429" t="s">
        <v>460</v>
      </c>
      <c r="B429" s="1">
        <v>46248</v>
      </c>
      <c r="C429" t="s">
        <v>40</v>
      </c>
      <c r="D429" t="s">
        <v>34</v>
      </c>
      <c r="E429" t="s">
        <v>32</v>
      </c>
      <c r="F429" s="3">
        <v>7</v>
      </c>
      <c r="G429" s="4">
        <v>38905</v>
      </c>
      <c r="H429" s="4">
        <v>272335</v>
      </c>
      <c r="I429" s="4">
        <v>171655.38</v>
      </c>
      <c r="J429" s="4">
        <v>100679.62</v>
      </c>
      <c r="K429" t="s">
        <v>23</v>
      </c>
      <c r="L429" s="3">
        <f>(Table1[[#This Row],[Profit]]/Table1[[#This Row],[Sales_Amount]])*100</f>
        <v>36.969034461233406</v>
      </c>
      <c r="M429" s="4" t="str" cm="1">
        <f t="array" ref="M429">_xlfn.IFS(Table1[[#This Row],[Sales_Amount]]&gt;200000,"High",AND(Table1[[#This Row],[Sales_Amount]]&gt;100000,Table1[[#This Row],[Sales_Amount]]&lt;200000),"Medium",Table1[[#This Row],[Sales_Amount]]&lt;100000,"Low")</f>
        <v>High</v>
      </c>
      <c r="N429" t="str">
        <f>TEXT(Table1[[#This Row],[Order_Date]],"MMMM")</f>
        <v>August</v>
      </c>
      <c r="O429">
        <f>YEAR(Table1[[#This Row],[Order_Date]])</f>
        <v>2026</v>
      </c>
    </row>
    <row r="430" spans="1:15" x14ac:dyDescent="0.3">
      <c r="A430" t="s">
        <v>461</v>
      </c>
      <c r="B430" s="1">
        <v>46249</v>
      </c>
      <c r="C430" t="s">
        <v>40</v>
      </c>
      <c r="D430" t="s">
        <v>13</v>
      </c>
      <c r="E430" t="s">
        <v>19</v>
      </c>
      <c r="F430" s="3">
        <v>7</v>
      </c>
      <c r="G430" s="4">
        <v>42394</v>
      </c>
      <c r="H430" s="4">
        <v>296758</v>
      </c>
      <c r="I430" s="4">
        <v>263580.05</v>
      </c>
      <c r="J430" s="4">
        <v>33177.949999999997</v>
      </c>
      <c r="K430" t="s">
        <v>26</v>
      </c>
      <c r="L430" s="3">
        <f>(Table1[[#This Row],[Profit]]/Table1[[#This Row],[Sales_Amount]])*100</f>
        <v>11.180136677023029</v>
      </c>
      <c r="M430" s="4" t="str" cm="1">
        <f t="array" ref="M430">_xlfn.IFS(Table1[[#This Row],[Sales_Amount]]&gt;200000,"High",AND(Table1[[#This Row],[Sales_Amount]]&gt;100000,Table1[[#This Row],[Sales_Amount]]&lt;200000),"Medium",Table1[[#This Row],[Sales_Amount]]&lt;100000,"Low")</f>
        <v>High</v>
      </c>
      <c r="N430" t="str">
        <f>TEXT(Table1[[#This Row],[Order_Date]],"MMMM")</f>
        <v>August</v>
      </c>
      <c r="O430">
        <f>YEAR(Table1[[#This Row],[Order_Date]])</f>
        <v>2026</v>
      </c>
    </row>
    <row r="431" spans="1:15" x14ac:dyDescent="0.3">
      <c r="A431" t="s">
        <v>462</v>
      </c>
      <c r="B431" s="1">
        <v>46250</v>
      </c>
      <c r="C431" t="s">
        <v>40</v>
      </c>
      <c r="D431" t="s">
        <v>13</v>
      </c>
      <c r="E431" t="s">
        <v>19</v>
      </c>
      <c r="F431" s="3">
        <v>10</v>
      </c>
      <c r="G431" s="4">
        <v>11991</v>
      </c>
      <c r="H431" s="4">
        <v>119910</v>
      </c>
      <c r="I431" s="4">
        <v>85557.61</v>
      </c>
      <c r="J431" s="4">
        <v>34352.39</v>
      </c>
      <c r="K431" t="s">
        <v>23</v>
      </c>
      <c r="L431" s="3">
        <f>(Table1[[#This Row],[Profit]]/Table1[[#This Row],[Sales_Amount]])*100</f>
        <v>28.648478025185554</v>
      </c>
      <c r="M431" s="4" t="str" cm="1">
        <f t="array" ref="M431">_xlfn.IFS(Table1[[#This Row],[Sales_Amount]]&gt;200000,"High",AND(Table1[[#This Row],[Sales_Amount]]&gt;100000,Table1[[#This Row],[Sales_Amount]]&lt;200000),"Medium",Table1[[#This Row],[Sales_Amount]]&lt;100000,"Low")</f>
        <v>Medium</v>
      </c>
      <c r="N431" t="str">
        <f>TEXT(Table1[[#This Row],[Order_Date]],"MMMM")</f>
        <v>August</v>
      </c>
      <c r="O431">
        <f>YEAR(Table1[[#This Row],[Order_Date]])</f>
        <v>2026</v>
      </c>
    </row>
    <row r="432" spans="1:15" x14ac:dyDescent="0.3">
      <c r="A432" t="s">
        <v>463</v>
      </c>
      <c r="B432" s="1">
        <v>46251</v>
      </c>
      <c r="C432" t="s">
        <v>17</v>
      </c>
      <c r="D432" t="s">
        <v>13</v>
      </c>
      <c r="E432" t="s">
        <v>19</v>
      </c>
      <c r="F432" s="3">
        <v>10</v>
      </c>
      <c r="G432" s="4">
        <v>26163</v>
      </c>
      <c r="H432" s="4">
        <v>261630</v>
      </c>
      <c r="I432" s="4">
        <v>223753.06</v>
      </c>
      <c r="J432" s="4">
        <v>37876.94</v>
      </c>
      <c r="K432" t="s">
        <v>26</v>
      </c>
      <c r="L432" s="3">
        <f>(Table1[[#This Row],[Profit]]/Table1[[#This Row],[Sales_Amount]])*100</f>
        <v>14.477292359438904</v>
      </c>
      <c r="M432" s="4" t="str" cm="1">
        <f t="array" ref="M432">_xlfn.IFS(Table1[[#This Row],[Sales_Amount]]&gt;200000,"High",AND(Table1[[#This Row],[Sales_Amount]]&gt;100000,Table1[[#This Row],[Sales_Amount]]&lt;200000),"Medium",Table1[[#This Row],[Sales_Amount]]&lt;100000,"Low")</f>
        <v>High</v>
      </c>
      <c r="N432" t="str">
        <f>TEXT(Table1[[#This Row],[Order_Date]],"MMMM")</f>
        <v>August</v>
      </c>
      <c r="O432">
        <f>YEAR(Table1[[#This Row],[Order_Date]])</f>
        <v>2026</v>
      </c>
    </row>
    <row r="433" spans="1:15" x14ac:dyDescent="0.3">
      <c r="A433" t="s">
        <v>464</v>
      </c>
      <c r="B433" s="1">
        <v>46252</v>
      </c>
      <c r="C433" t="s">
        <v>12</v>
      </c>
      <c r="D433" t="s">
        <v>34</v>
      </c>
      <c r="E433" t="s">
        <v>22</v>
      </c>
      <c r="F433" s="3">
        <v>10</v>
      </c>
      <c r="G433" s="4">
        <v>7322</v>
      </c>
      <c r="H433" s="4">
        <v>73220</v>
      </c>
      <c r="I433" s="4">
        <v>64507.28</v>
      </c>
      <c r="J433" s="4">
        <v>8712.7199999999993</v>
      </c>
      <c r="K433" t="s">
        <v>15</v>
      </c>
      <c r="L433" s="3">
        <f>(Table1[[#This Row],[Profit]]/Table1[[#This Row],[Sales_Amount]])*100</f>
        <v>11.899371756350723</v>
      </c>
      <c r="M433" s="4" t="str" cm="1">
        <f t="array" ref="M433">_xlfn.IFS(Table1[[#This Row],[Sales_Amount]]&gt;200000,"High",AND(Table1[[#This Row],[Sales_Amount]]&gt;100000,Table1[[#This Row],[Sales_Amount]]&lt;200000),"Medium",Table1[[#This Row],[Sales_Amount]]&lt;100000,"Low")</f>
        <v>Low</v>
      </c>
      <c r="N433" t="str">
        <f>TEXT(Table1[[#This Row],[Order_Date]],"MMMM")</f>
        <v>August</v>
      </c>
      <c r="O433">
        <f>YEAR(Table1[[#This Row],[Order_Date]])</f>
        <v>2026</v>
      </c>
    </row>
    <row r="434" spans="1:15" x14ac:dyDescent="0.3">
      <c r="A434" t="s">
        <v>465</v>
      </c>
      <c r="B434" s="1">
        <v>46253</v>
      </c>
      <c r="C434" t="s">
        <v>17</v>
      </c>
      <c r="D434" t="s">
        <v>34</v>
      </c>
      <c r="E434" t="s">
        <v>32</v>
      </c>
      <c r="F434" s="3">
        <v>6</v>
      </c>
      <c r="G434" s="4">
        <v>11502</v>
      </c>
      <c r="H434" s="4">
        <v>69012</v>
      </c>
      <c r="I434" s="4">
        <v>54578.559999999998</v>
      </c>
      <c r="J434" s="4">
        <v>14433.44</v>
      </c>
      <c r="K434" t="s">
        <v>58</v>
      </c>
      <c r="L434" s="3">
        <f>(Table1[[#This Row],[Profit]]/Table1[[#This Row],[Sales_Amount]])*100</f>
        <v>20.914391699994205</v>
      </c>
      <c r="M434" s="4" t="str" cm="1">
        <f t="array" ref="M434">_xlfn.IFS(Table1[[#This Row],[Sales_Amount]]&gt;200000,"High",AND(Table1[[#This Row],[Sales_Amount]]&gt;100000,Table1[[#This Row],[Sales_Amount]]&lt;200000),"Medium",Table1[[#This Row],[Sales_Amount]]&lt;100000,"Low")</f>
        <v>Low</v>
      </c>
      <c r="N434" t="str">
        <f>TEXT(Table1[[#This Row],[Order_Date]],"MMMM")</f>
        <v>August</v>
      </c>
      <c r="O434">
        <f>YEAR(Table1[[#This Row],[Order_Date]])</f>
        <v>2026</v>
      </c>
    </row>
    <row r="435" spans="1:15" x14ac:dyDescent="0.3">
      <c r="A435" t="s">
        <v>466</v>
      </c>
      <c r="B435" s="1">
        <v>46254</v>
      </c>
      <c r="C435" t="s">
        <v>40</v>
      </c>
      <c r="D435" t="s">
        <v>44</v>
      </c>
      <c r="E435" t="s">
        <v>32</v>
      </c>
      <c r="F435" s="3">
        <v>4</v>
      </c>
      <c r="G435" s="4">
        <v>16853</v>
      </c>
      <c r="H435" s="4">
        <v>67412</v>
      </c>
      <c r="I435" s="4">
        <v>54465.72</v>
      </c>
      <c r="J435" s="4">
        <v>12946.28</v>
      </c>
      <c r="K435" t="s">
        <v>15</v>
      </c>
      <c r="L435" s="3">
        <f>(Table1[[#This Row],[Profit]]/Table1[[#This Row],[Sales_Amount]])*100</f>
        <v>19.204711327360116</v>
      </c>
      <c r="M435" s="4" t="str" cm="1">
        <f t="array" ref="M435">_xlfn.IFS(Table1[[#This Row],[Sales_Amount]]&gt;200000,"High",AND(Table1[[#This Row],[Sales_Amount]]&gt;100000,Table1[[#This Row],[Sales_Amount]]&lt;200000),"Medium",Table1[[#This Row],[Sales_Amount]]&lt;100000,"Low")</f>
        <v>Low</v>
      </c>
      <c r="N435" t="str">
        <f>TEXT(Table1[[#This Row],[Order_Date]],"MMMM")</f>
        <v>August</v>
      </c>
      <c r="O435">
        <f>YEAR(Table1[[#This Row],[Order_Date]])</f>
        <v>2026</v>
      </c>
    </row>
    <row r="436" spans="1:15" x14ac:dyDescent="0.3">
      <c r="A436" t="s">
        <v>467</v>
      </c>
      <c r="B436" s="1">
        <v>46255</v>
      </c>
      <c r="C436" t="s">
        <v>12</v>
      </c>
      <c r="D436" t="s">
        <v>21</v>
      </c>
      <c r="E436" t="s">
        <v>14</v>
      </c>
      <c r="F436" s="3">
        <v>7</v>
      </c>
      <c r="G436" s="4">
        <v>29219</v>
      </c>
      <c r="H436" s="4">
        <v>204533</v>
      </c>
      <c r="I436" s="4">
        <v>167671.10999999999</v>
      </c>
      <c r="J436" s="4">
        <v>36861.89</v>
      </c>
      <c r="K436" t="s">
        <v>58</v>
      </c>
      <c r="L436" s="3">
        <f>(Table1[[#This Row],[Profit]]/Table1[[#This Row],[Sales_Amount]])*100</f>
        <v>18.022465812362796</v>
      </c>
      <c r="M436" s="4" t="str" cm="1">
        <f t="array" ref="M436">_xlfn.IFS(Table1[[#This Row],[Sales_Amount]]&gt;200000,"High",AND(Table1[[#This Row],[Sales_Amount]]&gt;100000,Table1[[#This Row],[Sales_Amount]]&lt;200000),"Medium",Table1[[#This Row],[Sales_Amount]]&lt;100000,"Low")</f>
        <v>High</v>
      </c>
      <c r="N436" t="str">
        <f>TEXT(Table1[[#This Row],[Order_Date]],"MMMM")</f>
        <v>August</v>
      </c>
      <c r="O436">
        <f>YEAR(Table1[[#This Row],[Order_Date]])</f>
        <v>2026</v>
      </c>
    </row>
    <row r="437" spans="1:15" x14ac:dyDescent="0.3">
      <c r="A437" t="s">
        <v>468</v>
      </c>
      <c r="B437" s="1">
        <v>46256</v>
      </c>
      <c r="C437" t="s">
        <v>28</v>
      </c>
      <c r="D437" t="s">
        <v>51</v>
      </c>
      <c r="E437" t="s">
        <v>32</v>
      </c>
      <c r="F437" s="3">
        <v>9</v>
      </c>
      <c r="G437" s="4">
        <v>25098</v>
      </c>
      <c r="H437" s="4">
        <v>225882</v>
      </c>
      <c r="I437" s="4">
        <v>142402.47</v>
      </c>
      <c r="J437" s="4">
        <v>83479.53</v>
      </c>
      <c r="K437" t="s">
        <v>23</v>
      </c>
      <c r="L437" s="3">
        <f>(Table1[[#This Row],[Profit]]/Table1[[#This Row],[Sales_Amount]])*100</f>
        <v>36.957141339283346</v>
      </c>
      <c r="M437" s="4" t="str" cm="1">
        <f t="array" ref="M437">_xlfn.IFS(Table1[[#This Row],[Sales_Amount]]&gt;200000,"High",AND(Table1[[#This Row],[Sales_Amount]]&gt;100000,Table1[[#This Row],[Sales_Amount]]&lt;200000),"Medium",Table1[[#This Row],[Sales_Amount]]&lt;100000,"Low")</f>
        <v>High</v>
      </c>
      <c r="N437" t="str">
        <f>TEXT(Table1[[#This Row],[Order_Date]],"MMMM")</f>
        <v>August</v>
      </c>
      <c r="O437">
        <f>YEAR(Table1[[#This Row],[Order_Date]])</f>
        <v>2026</v>
      </c>
    </row>
    <row r="438" spans="1:15" x14ac:dyDescent="0.3">
      <c r="A438" t="s">
        <v>469</v>
      </c>
      <c r="B438" s="1">
        <v>46257</v>
      </c>
      <c r="C438" t="s">
        <v>40</v>
      </c>
      <c r="D438" t="s">
        <v>29</v>
      </c>
      <c r="E438" t="s">
        <v>14</v>
      </c>
      <c r="F438" s="3">
        <v>1</v>
      </c>
      <c r="G438" s="4">
        <v>19827</v>
      </c>
      <c r="H438" s="4">
        <v>19827</v>
      </c>
      <c r="I438" s="4">
        <v>12015.63</v>
      </c>
      <c r="J438" s="4">
        <v>7811.37</v>
      </c>
      <c r="K438" t="s">
        <v>15</v>
      </c>
      <c r="L438" s="3">
        <f>(Table1[[#This Row],[Profit]]/Table1[[#This Row],[Sales_Amount]])*100</f>
        <v>39.397639582387647</v>
      </c>
      <c r="M438" s="4" t="str" cm="1">
        <f t="array" ref="M438">_xlfn.IFS(Table1[[#This Row],[Sales_Amount]]&gt;200000,"High",AND(Table1[[#This Row],[Sales_Amount]]&gt;100000,Table1[[#This Row],[Sales_Amount]]&lt;200000),"Medium",Table1[[#This Row],[Sales_Amount]]&lt;100000,"Low")</f>
        <v>Low</v>
      </c>
      <c r="N438" t="str">
        <f>TEXT(Table1[[#This Row],[Order_Date]],"MMMM")</f>
        <v>August</v>
      </c>
      <c r="O438">
        <f>YEAR(Table1[[#This Row],[Order_Date]])</f>
        <v>2026</v>
      </c>
    </row>
    <row r="439" spans="1:15" x14ac:dyDescent="0.3">
      <c r="A439" t="s">
        <v>470</v>
      </c>
      <c r="B439" s="1">
        <v>46258</v>
      </c>
      <c r="C439" t="s">
        <v>17</v>
      </c>
      <c r="D439" t="s">
        <v>34</v>
      </c>
      <c r="E439" t="s">
        <v>22</v>
      </c>
      <c r="F439" s="3">
        <v>7</v>
      </c>
      <c r="G439" s="4">
        <v>11045</v>
      </c>
      <c r="H439" s="4">
        <v>77315</v>
      </c>
      <c r="I439" s="4">
        <v>63367.03</v>
      </c>
      <c r="J439" s="4">
        <v>13947.97</v>
      </c>
      <c r="K439" t="s">
        <v>58</v>
      </c>
      <c r="L439" s="3">
        <f>(Table1[[#This Row],[Profit]]/Table1[[#This Row],[Sales_Amount]])*100</f>
        <v>18.040444933066027</v>
      </c>
      <c r="M439" s="4" t="str" cm="1">
        <f t="array" ref="M439">_xlfn.IFS(Table1[[#This Row],[Sales_Amount]]&gt;200000,"High",AND(Table1[[#This Row],[Sales_Amount]]&gt;100000,Table1[[#This Row],[Sales_Amount]]&lt;200000),"Medium",Table1[[#This Row],[Sales_Amount]]&lt;100000,"Low")</f>
        <v>Low</v>
      </c>
      <c r="N439" t="str">
        <f>TEXT(Table1[[#This Row],[Order_Date]],"MMMM")</f>
        <v>August</v>
      </c>
      <c r="O439">
        <f>YEAR(Table1[[#This Row],[Order_Date]])</f>
        <v>2026</v>
      </c>
    </row>
    <row r="440" spans="1:15" x14ac:dyDescent="0.3">
      <c r="A440" t="s">
        <v>471</v>
      </c>
      <c r="B440" s="1">
        <v>46259</v>
      </c>
      <c r="C440" t="s">
        <v>28</v>
      </c>
      <c r="D440" t="s">
        <v>13</v>
      </c>
      <c r="E440" t="s">
        <v>14</v>
      </c>
      <c r="F440" s="3">
        <v>7</v>
      </c>
      <c r="G440" s="4">
        <v>43336</v>
      </c>
      <c r="H440" s="4">
        <v>303352</v>
      </c>
      <c r="I440" s="4">
        <v>197026.87</v>
      </c>
      <c r="J440" s="4">
        <v>106325.13</v>
      </c>
      <c r="K440" t="s">
        <v>15</v>
      </c>
      <c r="L440" s="3">
        <f>(Table1[[#This Row],[Profit]]/Table1[[#This Row],[Sales_Amount]])*100</f>
        <v>35.050083731111052</v>
      </c>
      <c r="M440" s="4" t="str" cm="1">
        <f t="array" ref="M440">_xlfn.IFS(Table1[[#This Row],[Sales_Amount]]&gt;200000,"High",AND(Table1[[#This Row],[Sales_Amount]]&gt;100000,Table1[[#This Row],[Sales_Amount]]&lt;200000),"Medium",Table1[[#This Row],[Sales_Amount]]&lt;100000,"Low")</f>
        <v>High</v>
      </c>
      <c r="N440" t="str">
        <f>TEXT(Table1[[#This Row],[Order_Date]],"MMMM")</f>
        <v>August</v>
      </c>
      <c r="O440">
        <f>YEAR(Table1[[#This Row],[Order_Date]])</f>
        <v>2026</v>
      </c>
    </row>
    <row r="441" spans="1:15" x14ac:dyDescent="0.3">
      <c r="A441" t="s">
        <v>472</v>
      </c>
      <c r="B441" s="1">
        <v>46260</v>
      </c>
      <c r="C441" t="s">
        <v>40</v>
      </c>
      <c r="D441" t="s">
        <v>44</v>
      </c>
      <c r="E441" t="s">
        <v>32</v>
      </c>
      <c r="F441" s="3">
        <v>4</v>
      </c>
      <c r="G441" s="4">
        <v>12950</v>
      </c>
      <c r="H441" s="4">
        <v>51800</v>
      </c>
      <c r="I441" s="4">
        <v>37440.21</v>
      </c>
      <c r="J441" s="4">
        <v>14359.79</v>
      </c>
      <c r="K441" t="s">
        <v>26</v>
      </c>
      <c r="L441" s="3">
        <f>(Table1[[#This Row],[Profit]]/Table1[[#This Row],[Sales_Amount]])*100</f>
        <v>27.721602316602318</v>
      </c>
      <c r="M441" s="4" t="str" cm="1">
        <f t="array" ref="M441">_xlfn.IFS(Table1[[#This Row],[Sales_Amount]]&gt;200000,"High",AND(Table1[[#This Row],[Sales_Amount]]&gt;100000,Table1[[#This Row],[Sales_Amount]]&lt;200000),"Medium",Table1[[#This Row],[Sales_Amount]]&lt;100000,"Low")</f>
        <v>Low</v>
      </c>
      <c r="N441" t="str">
        <f>TEXT(Table1[[#This Row],[Order_Date]],"MMMM")</f>
        <v>August</v>
      </c>
      <c r="O441">
        <f>YEAR(Table1[[#This Row],[Order_Date]])</f>
        <v>2026</v>
      </c>
    </row>
    <row r="442" spans="1:15" x14ac:dyDescent="0.3">
      <c r="A442" t="s">
        <v>473</v>
      </c>
      <c r="B442" s="1">
        <v>46261</v>
      </c>
      <c r="C442" t="s">
        <v>28</v>
      </c>
      <c r="D442" t="s">
        <v>13</v>
      </c>
      <c r="E442" t="s">
        <v>14</v>
      </c>
      <c r="F442" s="3">
        <v>1</v>
      </c>
      <c r="G442" s="4">
        <v>26249</v>
      </c>
      <c r="H442" s="4">
        <v>26249</v>
      </c>
      <c r="I442" s="4">
        <v>20251.919999999998</v>
      </c>
      <c r="J442" s="4">
        <v>5997.08</v>
      </c>
      <c r="K442" t="s">
        <v>15</v>
      </c>
      <c r="L442" s="3">
        <f>(Table1[[#This Row],[Profit]]/Table1[[#This Row],[Sales_Amount]])*100</f>
        <v>22.846889405310677</v>
      </c>
      <c r="M442" s="4" t="str" cm="1">
        <f t="array" ref="M442">_xlfn.IFS(Table1[[#This Row],[Sales_Amount]]&gt;200000,"High",AND(Table1[[#This Row],[Sales_Amount]]&gt;100000,Table1[[#This Row],[Sales_Amount]]&lt;200000),"Medium",Table1[[#This Row],[Sales_Amount]]&lt;100000,"Low")</f>
        <v>Low</v>
      </c>
      <c r="N442" t="str">
        <f>TEXT(Table1[[#This Row],[Order_Date]],"MMMM")</f>
        <v>August</v>
      </c>
      <c r="O442">
        <f>YEAR(Table1[[#This Row],[Order_Date]])</f>
        <v>2026</v>
      </c>
    </row>
    <row r="443" spans="1:15" x14ac:dyDescent="0.3">
      <c r="A443" t="s">
        <v>474</v>
      </c>
      <c r="B443" s="1">
        <v>46262</v>
      </c>
      <c r="C443" t="s">
        <v>28</v>
      </c>
      <c r="D443" t="s">
        <v>51</v>
      </c>
      <c r="E443" t="s">
        <v>14</v>
      </c>
      <c r="F443" s="3">
        <v>7</v>
      </c>
      <c r="G443" s="4">
        <v>6242</v>
      </c>
      <c r="H443" s="4">
        <v>43694</v>
      </c>
      <c r="I443" s="4">
        <v>30077.41</v>
      </c>
      <c r="J443" s="4">
        <v>13616.59</v>
      </c>
      <c r="K443" t="s">
        <v>15</v>
      </c>
      <c r="L443" s="3">
        <f>(Table1[[#This Row],[Profit]]/Table1[[#This Row],[Sales_Amount]])*100</f>
        <v>31.163523595917059</v>
      </c>
      <c r="M443" s="4" t="str" cm="1">
        <f t="array" ref="M443">_xlfn.IFS(Table1[[#This Row],[Sales_Amount]]&gt;200000,"High",AND(Table1[[#This Row],[Sales_Amount]]&gt;100000,Table1[[#This Row],[Sales_Amount]]&lt;200000),"Medium",Table1[[#This Row],[Sales_Amount]]&lt;100000,"Low")</f>
        <v>Low</v>
      </c>
      <c r="N443" t="str">
        <f>TEXT(Table1[[#This Row],[Order_Date]],"MMMM")</f>
        <v>August</v>
      </c>
      <c r="O443">
        <f>YEAR(Table1[[#This Row],[Order_Date]])</f>
        <v>2026</v>
      </c>
    </row>
    <row r="444" spans="1:15" x14ac:dyDescent="0.3">
      <c r="A444" t="s">
        <v>475</v>
      </c>
      <c r="B444" s="1">
        <v>46263</v>
      </c>
      <c r="C444" t="s">
        <v>17</v>
      </c>
      <c r="D444" t="s">
        <v>56</v>
      </c>
      <c r="E444" t="s">
        <v>22</v>
      </c>
      <c r="F444" s="3">
        <v>3</v>
      </c>
      <c r="G444" s="4">
        <v>42324</v>
      </c>
      <c r="H444" s="4">
        <v>126972</v>
      </c>
      <c r="I444" s="4">
        <v>87298.77</v>
      </c>
      <c r="J444" s="4">
        <v>39673.230000000003</v>
      </c>
      <c r="K444" t="s">
        <v>15</v>
      </c>
      <c r="L444" s="3">
        <f>(Table1[[#This Row],[Profit]]/Table1[[#This Row],[Sales_Amount]])*100</f>
        <v>31.245652584821855</v>
      </c>
      <c r="M444" s="4" t="str" cm="1">
        <f t="array" ref="M444">_xlfn.IFS(Table1[[#This Row],[Sales_Amount]]&gt;200000,"High",AND(Table1[[#This Row],[Sales_Amount]]&gt;100000,Table1[[#This Row],[Sales_Amount]]&lt;200000),"Medium",Table1[[#This Row],[Sales_Amount]]&lt;100000,"Low")</f>
        <v>Medium</v>
      </c>
      <c r="N444" t="str">
        <f>TEXT(Table1[[#This Row],[Order_Date]],"MMMM")</f>
        <v>August</v>
      </c>
      <c r="O444">
        <f>YEAR(Table1[[#This Row],[Order_Date]])</f>
        <v>2026</v>
      </c>
    </row>
    <row r="445" spans="1:15" x14ac:dyDescent="0.3">
      <c r="A445" t="s">
        <v>476</v>
      </c>
      <c r="B445" s="1">
        <v>46264</v>
      </c>
      <c r="C445" t="s">
        <v>40</v>
      </c>
      <c r="D445" t="s">
        <v>29</v>
      </c>
      <c r="E445" t="s">
        <v>37</v>
      </c>
      <c r="F445" s="3">
        <v>8</v>
      </c>
      <c r="G445" s="4">
        <v>32553</v>
      </c>
      <c r="H445" s="4">
        <v>260424</v>
      </c>
      <c r="I445" s="4">
        <v>226168.67</v>
      </c>
      <c r="J445" s="4">
        <v>34255.33</v>
      </c>
      <c r="K445" t="s">
        <v>58</v>
      </c>
      <c r="L445" s="3">
        <f>(Table1[[#This Row],[Profit]]/Table1[[#This Row],[Sales_Amount]])*100</f>
        <v>13.15367631247504</v>
      </c>
      <c r="M445" s="4" t="str" cm="1">
        <f t="array" ref="M445">_xlfn.IFS(Table1[[#This Row],[Sales_Amount]]&gt;200000,"High",AND(Table1[[#This Row],[Sales_Amount]]&gt;100000,Table1[[#This Row],[Sales_Amount]]&lt;200000),"Medium",Table1[[#This Row],[Sales_Amount]]&lt;100000,"Low")</f>
        <v>High</v>
      </c>
      <c r="N445" t="str">
        <f>TEXT(Table1[[#This Row],[Order_Date]],"MMMM")</f>
        <v>August</v>
      </c>
      <c r="O445">
        <f>YEAR(Table1[[#This Row],[Order_Date]])</f>
        <v>2026</v>
      </c>
    </row>
    <row r="446" spans="1:15" x14ac:dyDescent="0.3">
      <c r="A446" t="s">
        <v>477</v>
      </c>
      <c r="B446" s="1">
        <v>46265</v>
      </c>
      <c r="C446" t="s">
        <v>17</v>
      </c>
      <c r="D446" t="s">
        <v>44</v>
      </c>
      <c r="E446" t="s">
        <v>32</v>
      </c>
      <c r="F446" s="3">
        <v>7</v>
      </c>
      <c r="G446" s="4">
        <v>24709</v>
      </c>
      <c r="H446" s="4">
        <v>172963</v>
      </c>
      <c r="I446" s="4">
        <v>113459.38</v>
      </c>
      <c r="J446" s="4">
        <v>59503.62</v>
      </c>
      <c r="K446" t="s">
        <v>58</v>
      </c>
      <c r="L446" s="3">
        <f>(Table1[[#This Row],[Profit]]/Table1[[#This Row],[Sales_Amount]])*100</f>
        <v>34.402513832438153</v>
      </c>
      <c r="M446" s="4" t="str" cm="1">
        <f t="array" ref="M446">_xlfn.IFS(Table1[[#This Row],[Sales_Amount]]&gt;200000,"High",AND(Table1[[#This Row],[Sales_Amount]]&gt;100000,Table1[[#This Row],[Sales_Amount]]&lt;200000),"Medium",Table1[[#This Row],[Sales_Amount]]&lt;100000,"Low")</f>
        <v>Medium</v>
      </c>
      <c r="N446" t="str">
        <f>TEXT(Table1[[#This Row],[Order_Date]],"MMMM")</f>
        <v>August</v>
      </c>
      <c r="O446">
        <f>YEAR(Table1[[#This Row],[Order_Date]])</f>
        <v>2026</v>
      </c>
    </row>
    <row r="447" spans="1:15" x14ac:dyDescent="0.3">
      <c r="A447" t="s">
        <v>478</v>
      </c>
      <c r="B447" s="1">
        <v>46266</v>
      </c>
      <c r="C447" t="s">
        <v>12</v>
      </c>
      <c r="D447" t="s">
        <v>29</v>
      </c>
      <c r="E447" t="s">
        <v>32</v>
      </c>
      <c r="F447" s="3">
        <v>4</v>
      </c>
      <c r="G447" s="4">
        <v>18100</v>
      </c>
      <c r="H447" s="4">
        <v>72400</v>
      </c>
      <c r="I447" s="4">
        <v>55695.44</v>
      </c>
      <c r="J447" s="4">
        <v>16704.560000000001</v>
      </c>
      <c r="K447" t="s">
        <v>15</v>
      </c>
      <c r="L447" s="3">
        <f>(Table1[[#This Row],[Profit]]/Table1[[#This Row],[Sales_Amount]])*100</f>
        <v>23.072596685082875</v>
      </c>
      <c r="M447" s="4" t="str" cm="1">
        <f t="array" ref="M447">_xlfn.IFS(Table1[[#This Row],[Sales_Amount]]&gt;200000,"High",AND(Table1[[#This Row],[Sales_Amount]]&gt;100000,Table1[[#This Row],[Sales_Amount]]&lt;200000),"Medium",Table1[[#This Row],[Sales_Amount]]&lt;100000,"Low")</f>
        <v>Low</v>
      </c>
      <c r="N447" t="str">
        <f>TEXT(Table1[[#This Row],[Order_Date]],"MMMM")</f>
        <v>September</v>
      </c>
      <c r="O447">
        <f>YEAR(Table1[[#This Row],[Order_Date]])</f>
        <v>2026</v>
      </c>
    </row>
    <row r="448" spans="1:15" x14ac:dyDescent="0.3">
      <c r="A448" t="s">
        <v>479</v>
      </c>
      <c r="B448" s="1">
        <v>46267</v>
      </c>
      <c r="C448" t="s">
        <v>12</v>
      </c>
      <c r="D448" t="s">
        <v>18</v>
      </c>
      <c r="E448" t="s">
        <v>32</v>
      </c>
      <c r="F448" s="3">
        <v>9</v>
      </c>
      <c r="G448" s="4">
        <v>27631</v>
      </c>
      <c r="H448" s="4">
        <v>248679</v>
      </c>
      <c r="I448" s="4">
        <v>221625.62</v>
      </c>
      <c r="J448" s="4">
        <v>27053.38</v>
      </c>
      <c r="K448" t="s">
        <v>58</v>
      </c>
      <c r="L448" s="3">
        <f>(Table1[[#This Row],[Profit]]/Table1[[#This Row],[Sales_Amount]])*100</f>
        <v>10.878835768199165</v>
      </c>
      <c r="M448" s="4" t="str" cm="1">
        <f t="array" ref="M448">_xlfn.IFS(Table1[[#This Row],[Sales_Amount]]&gt;200000,"High",AND(Table1[[#This Row],[Sales_Amount]]&gt;100000,Table1[[#This Row],[Sales_Amount]]&lt;200000),"Medium",Table1[[#This Row],[Sales_Amount]]&lt;100000,"Low")</f>
        <v>High</v>
      </c>
      <c r="N448" t="str">
        <f>TEXT(Table1[[#This Row],[Order_Date]],"MMMM")</f>
        <v>September</v>
      </c>
      <c r="O448">
        <f>YEAR(Table1[[#This Row],[Order_Date]])</f>
        <v>2026</v>
      </c>
    </row>
    <row r="449" spans="1:15" x14ac:dyDescent="0.3">
      <c r="A449" t="s">
        <v>480</v>
      </c>
      <c r="B449" s="1">
        <v>46268</v>
      </c>
      <c r="C449" t="s">
        <v>28</v>
      </c>
      <c r="D449" t="s">
        <v>51</v>
      </c>
      <c r="E449" t="s">
        <v>37</v>
      </c>
      <c r="F449" s="3">
        <v>9</v>
      </c>
      <c r="G449" s="4">
        <v>45527</v>
      </c>
      <c r="H449" s="4">
        <v>409743</v>
      </c>
      <c r="I449" s="4">
        <v>352406.93</v>
      </c>
      <c r="J449" s="4">
        <v>57336.07</v>
      </c>
      <c r="K449" t="s">
        <v>58</v>
      </c>
      <c r="L449" s="3">
        <f>(Table1[[#This Row],[Profit]]/Table1[[#This Row],[Sales_Amount]])*100</f>
        <v>13.993178651008071</v>
      </c>
      <c r="M449" s="4" t="str" cm="1">
        <f t="array" ref="M449">_xlfn.IFS(Table1[[#This Row],[Sales_Amount]]&gt;200000,"High",AND(Table1[[#This Row],[Sales_Amount]]&gt;100000,Table1[[#This Row],[Sales_Amount]]&lt;200000),"Medium",Table1[[#This Row],[Sales_Amount]]&lt;100000,"Low")</f>
        <v>High</v>
      </c>
      <c r="N449" t="str">
        <f>TEXT(Table1[[#This Row],[Order_Date]],"MMMM")</f>
        <v>September</v>
      </c>
      <c r="O449">
        <f>YEAR(Table1[[#This Row],[Order_Date]])</f>
        <v>2026</v>
      </c>
    </row>
    <row r="450" spans="1:15" x14ac:dyDescent="0.3">
      <c r="A450" t="s">
        <v>481</v>
      </c>
      <c r="B450" s="1">
        <v>46269</v>
      </c>
      <c r="C450" t="s">
        <v>12</v>
      </c>
      <c r="D450" t="s">
        <v>29</v>
      </c>
      <c r="E450" t="s">
        <v>14</v>
      </c>
      <c r="F450" s="3">
        <v>7</v>
      </c>
      <c r="G450" s="4">
        <v>47312</v>
      </c>
      <c r="H450" s="4">
        <v>331184</v>
      </c>
      <c r="I450" s="4">
        <v>202160.86</v>
      </c>
      <c r="J450" s="4">
        <v>129023.14</v>
      </c>
      <c r="K450" t="s">
        <v>58</v>
      </c>
      <c r="L450" s="3">
        <f>(Table1[[#This Row],[Profit]]/Table1[[#This Row],[Sales_Amount]])*100</f>
        <v>38.958144113242184</v>
      </c>
      <c r="M450" s="4" t="str" cm="1">
        <f t="array" ref="M450">_xlfn.IFS(Table1[[#This Row],[Sales_Amount]]&gt;200000,"High",AND(Table1[[#This Row],[Sales_Amount]]&gt;100000,Table1[[#This Row],[Sales_Amount]]&lt;200000),"Medium",Table1[[#This Row],[Sales_Amount]]&lt;100000,"Low")</f>
        <v>High</v>
      </c>
      <c r="N450" t="str">
        <f>TEXT(Table1[[#This Row],[Order_Date]],"MMMM")</f>
        <v>September</v>
      </c>
      <c r="O450">
        <f>YEAR(Table1[[#This Row],[Order_Date]])</f>
        <v>2026</v>
      </c>
    </row>
    <row r="451" spans="1:15" x14ac:dyDescent="0.3">
      <c r="A451" t="s">
        <v>482</v>
      </c>
      <c r="B451" s="1">
        <v>46270</v>
      </c>
      <c r="C451" t="s">
        <v>28</v>
      </c>
      <c r="D451" t="s">
        <v>29</v>
      </c>
      <c r="E451" t="s">
        <v>22</v>
      </c>
      <c r="F451" s="3">
        <v>4</v>
      </c>
      <c r="G451" s="4">
        <v>13130</v>
      </c>
      <c r="H451" s="4">
        <v>52520</v>
      </c>
      <c r="I451" s="4">
        <v>33500.19</v>
      </c>
      <c r="J451" s="4">
        <v>19019.810000000001</v>
      </c>
      <c r="K451" t="s">
        <v>58</v>
      </c>
      <c r="L451" s="3">
        <f>(Table1[[#This Row],[Profit]]/Table1[[#This Row],[Sales_Amount]])*100</f>
        <v>36.214413556740297</v>
      </c>
      <c r="M451" s="4" t="str" cm="1">
        <f t="array" ref="M451">_xlfn.IFS(Table1[[#This Row],[Sales_Amount]]&gt;200000,"High",AND(Table1[[#This Row],[Sales_Amount]]&gt;100000,Table1[[#This Row],[Sales_Amount]]&lt;200000),"Medium",Table1[[#This Row],[Sales_Amount]]&lt;100000,"Low")</f>
        <v>Low</v>
      </c>
      <c r="N451" t="str">
        <f>TEXT(Table1[[#This Row],[Order_Date]],"MMMM")</f>
        <v>September</v>
      </c>
      <c r="O451">
        <f>YEAR(Table1[[#This Row],[Order_Date]])</f>
        <v>2026</v>
      </c>
    </row>
    <row r="452" spans="1:15" x14ac:dyDescent="0.3">
      <c r="A452" t="s">
        <v>483</v>
      </c>
      <c r="B452" s="1">
        <v>46271</v>
      </c>
      <c r="C452" t="s">
        <v>17</v>
      </c>
      <c r="D452" t="s">
        <v>29</v>
      </c>
      <c r="E452" t="s">
        <v>19</v>
      </c>
      <c r="F452" s="3">
        <v>3</v>
      </c>
      <c r="G452" s="4">
        <v>39497</v>
      </c>
      <c r="H452" s="4">
        <v>118491</v>
      </c>
      <c r="I452" s="4">
        <v>80261.759999999995</v>
      </c>
      <c r="J452" s="4">
        <v>38229.24</v>
      </c>
      <c r="K452" t="s">
        <v>58</v>
      </c>
      <c r="L452" s="3">
        <f>(Table1[[#This Row],[Profit]]/Table1[[#This Row],[Sales_Amount]])*100</f>
        <v>32.26341241106919</v>
      </c>
      <c r="M452" s="4" t="str" cm="1">
        <f t="array" ref="M452">_xlfn.IFS(Table1[[#This Row],[Sales_Amount]]&gt;200000,"High",AND(Table1[[#This Row],[Sales_Amount]]&gt;100000,Table1[[#This Row],[Sales_Amount]]&lt;200000),"Medium",Table1[[#This Row],[Sales_Amount]]&lt;100000,"Low")</f>
        <v>Medium</v>
      </c>
      <c r="N452" t="str">
        <f>TEXT(Table1[[#This Row],[Order_Date]],"MMMM")</f>
        <v>September</v>
      </c>
      <c r="O452">
        <f>YEAR(Table1[[#This Row],[Order_Date]])</f>
        <v>2026</v>
      </c>
    </row>
    <row r="453" spans="1:15" x14ac:dyDescent="0.3">
      <c r="A453" t="s">
        <v>484</v>
      </c>
      <c r="B453" s="1">
        <v>46272</v>
      </c>
      <c r="C453" t="s">
        <v>28</v>
      </c>
      <c r="D453" t="s">
        <v>18</v>
      </c>
      <c r="E453" t="s">
        <v>37</v>
      </c>
      <c r="F453" s="3">
        <v>9</v>
      </c>
      <c r="G453" s="4">
        <v>21873</v>
      </c>
      <c r="H453" s="4">
        <v>196857</v>
      </c>
      <c r="I453" s="4">
        <v>168703.94</v>
      </c>
      <c r="J453" s="4">
        <v>28153.06</v>
      </c>
      <c r="K453" t="s">
        <v>58</v>
      </c>
      <c r="L453" s="3">
        <f>(Table1[[#This Row],[Profit]]/Table1[[#This Row],[Sales_Amount]])*100</f>
        <v>14.301274529226799</v>
      </c>
      <c r="M453" s="4" t="str" cm="1">
        <f t="array" ref="M453">_xlfn.IFS(Table1[[#This Row],[Sales_Amount]]&gt;200000,"High",AND(Table1[[#This Row],[Sales_Amount]]&gt;100000,Table1[[#This Row],[Sales_Amount]]&lt;200000),"Medium",Table1[[#This Row],[Sales_Amount]]&lt;100000,"Low")</f>
        <v>Medium</v>
      </c>
      <c r="N453" t="str">
        <f>TEXT(Table1[[#This Row],[Order_Date]],"MMMM")</f>
        <v>September</v>
      </c>
      <c r="O453">
        <f>YEAR(Table1[[#This Row],[Order_Date]])</f>
        <v>2026</v>
      </c>
    </row>
    <row r="454" spans="1:15" x14ac:dyDescent="0.3">
      <c r="A454" t="s">
        <v>485</v>
      </c>
      <c r="B454" s="1">
        <v>46273</v>
      </c>
      <c r="C454" t="s">
        <v>17</v>
      </c>
      <c r="D454" t="s">
        <v>29</v>
      </c>
      <c r="E454" t="s">
        <v>37</v>
      </c>
      <c r="F454" s="3">
        <v>3</v>
      </c>
      <c r="G454" s="4">
        <v>10212</v>
      </c>
      <c r="H454" s="4">
        <v>30636</v>
      </c>
      <c r="I454" s="4">
        <v>23589.05</v>
      </c>
      <c r="J454" s="4">
        <v>7046.95</v>
      </c>
      <c r="K454" t="s">
        <v>15</v>
      </c>
      <c r="L454" s="3">
        <f>(Table1[[#This Row],[Profit]]/Table1[[#This Row],[Sales_Amount]])*100</f>
        <v>23.002186969578272</v>
      </c>
      <c r="M454" s="4" t="str" cm="1">
        <f t="array" ref="M454">_xlfn.IFS(Table1[[#This Row],[Sales_Amount]]&gt;200000,"High",AND(Table1[[#This Row],[Sales_Amount]]&gt;100000,Table1[[#This Row],[Sales_Amount]]&lt;200000),"Medium",Table1[[#This Row],[Sales_Amount]]&lt;100000,"Low")</f>
        <v>Low</v>
      </c>
      <c r="N454" t="str">
        <f>TEXT(Table1[[#This Row],[Order_Date]],"MMMM")</f>
        <v>September</v>
      </c>
      <c r="O454">
        <f>YEAR(Table1[[#This Row],[Order_Date]])</f>
        <v>2026</v>
      </c>
    </row>
    <row r="455" spans="1:15" x14ac:dyDescent="0.3">
      <c r="A455" t="s">
        <v>486</v>
      </c>
      <c r="B455" s="1">
        <v>46274</v>
      </c>
      <c r="C455" t="s">
        <v>28</v>
      </c>
      <c r="D455" t="s">
        <v>56</v>
      </c>
      <c r="E455" t="s">
        <v>25</v>
      </c>
      <c r="F455" s="3">
        <v>6</v>
      </c>
      <c r="G455" s="4">
        <v>27428</v>
      </c>
      <c r="H455" s="4">
        <v>164568</v>
      </c>
      <c r="I455" s="4">
        <v>111781.33</v>
      </c>
      <c r="J455" s="4">
        <v>52786.67</v>
      </c>
      <c r="K455" t="s">
        <v>15</v>
      </c>
      <c r="L455" s="3">
        <f>(Table1[[#This Row],[Profit]]/Table1[[#This Row],[Sales_Amount]])*100</f>
        <v>32.075901754897664</v>
      </c>
      <c r="M455" s="4" t="str" cm="1">
        <f t="array" ref="M455">_xlfn.IFS(Table1[[#This Row],[Sales_Amount]]&gt;200000,"High",AND(Table1[[#This Row],[Sales_Amount]]&gt;100000,Table1[[#This Row],[Sales_Amount]]&lt;200000),"Medium",Table1[[#This Row],[Sales_Amount]]&lt;100000,"Low")</f>
        <v>Medium</v>
      </c>
      <c r="N455" t="str">
        <f>TEXT(Table1[[#This Row],[Order_Date]],"MMMM")</f>
        <v>September</v>
      </c>
      <c r="O455">
        <f>YEAR(Table1[[#This Row],[Order_Date]])</f>
        <v>2026</v>
      </c>
    </row>
    <row r="456" spans="1:15" x14ac:dyDescent="0.3">
      <c r="A456" t="s">
        <v>487</v>
      </c>
      <c r="B456" s="1">
        <v>46275</v>
      </c>
      <c r="C456" t="s">
        <v>28</v>
      </c>
      <c r="D456" t="s">
        <v>18</v>
      </c>
      <c r="E456" t="s">
        <v>32</v>
      </c>
      <c r="F456" s="3">
        <v>7</v>
      </c>
      <c r="G456" s="4">
        <v>9927</v>
      </c>
      <c r="H456" s="4">
        <v>69489</v>
      </c>
      <c r="I456" s="4">
        <v>54581.760000000002</v>
      </c>
      <c r="J456" s="4">
        <v>14907.24</v>
      </c>
      <c r="K456" t="s">
        <v>58</v>
      </c>
      <c r="L456" s="3">
        <f>(Table1[[#This Row],[Profit]]/Table1[[#This Row],[Sales_Amount]])*100</f>
        <v>21.452661572335188</v>
      </c>
      <c r="M456" s="4" t="str" cm="1">
        <f t="array" ref="M456">_xlfn.IFS(Table1[[#This Row],[Sales_Amount]]&gt;200000,"High",AND(Table1[[#This Row],[Sales_Amount]]&gt;100000,Table1[[#This Row],[Sales_Amount]]&lt;200000),"Medium",Table1[[#This Row],[Sales_Amount]]&lt;100000,"Low")</f>
        <v>Low</v>
      </c>
      <c r="N456" t="str">
        <f>TEXT(Table1[[#This Row],[Order_Date]],"MMMM")</f>
        <v>September</v>
      </c>
      <c r="O456">
        <f>YEAR(Table1[[#This Row],[Order_Date]])</f>
        <v>2026</v>
      </c>
    </row>
    <row r="457" spans="1:15" x14ac:dyDescent="0.3">
      <c r="A457" t="s">
        <v>488</v>
      </c>
      <c r="B457" s="1">
        <v>46276</v>
      </c>
      <c r="C457" t="s">
        <v>40</v>
      </c>
      <c r="D457" t="s">
        <v>34</v>
      </c>
      <c r="E457" t="s">
        <v>19</v>
      </c>
      <c r="F457" s="3">
        <v>4</v>
      </c>
      <c r="G457" s="4">
        <v>3730</v>
      </c>
      <c r="H457" s="4">
        <v>14920</v>
      </c>
      <c r="I457" s="4">
        <v>12289.98</v>
      </c>
      <c r="J457" s="4">
        <v>2630.02</v>
      </c>
      <c r="K457" t="s">
        <v>15</v>
      </c>
      <c r="L457" s="3">
        <f>(Table1[[#This Row],[Profit]]/Table1[[#This Row],[Sales_Amount]])*100</f>
        <v>17.627479892761393</v>
      </c>
      <c r="M457" s="4" t="str" cm="1">
        <f t="array" ref="M457">_xlfn.IFS(Table1[[#This Row],[Sales_Amount]]&gt;200000,"High",AND(Table1[[#This Row],[Sales_Amount]]&gt;100000,Table1[[#This Row],[Sales_Amount]]&lt;200000),"Medium",Table1[[#This Row],[Sales_Amount]]&lt;100000,"Low")</f>
        <v>Low</v>
      </c>
      <c r="N457" t="str">
        <f>TEXT(Table1[[#This Row],[Order_Date]],"MMMM")</f>
        <v>September</v>
      </c>
      <c r="O457">
        <f>YEAR(Table1[[#This Row],[Order_Date]])</f>
        <v>2026</v>
      </c>
    </row>
    <row r="458" spans="1:15" x14ac:dyDescent="0.3">
      <c r="A458" t="s">
        <v>489</v>
      </c>
      <c r="B458" s="1">
        <v>46277</v>
      </c>
      <c r="C458" t="s">
        <v>17</v>
      </c>
      <c r="D458" t="s">
        <v>51</v>
      </c>
      <c r="E458" t="s">
        <v>32</v>
      </c>
      <c r="F458" s="3">
        <v>5</v>
      </c>
      <c r="G458" s="4">
        <v>18872</v>
      </c>
      <c r="H458" s="4">
        <v>94360</v>
      </c>
      <c r="I458" s="4">
        <v>80475.3</v>
      </c>
      <c r="J458" s="4">
        <v>13884.7</v>
      </c>
      <c r="K458" t="s">
        <v>23</v>
      </c>
      <c r="L458" s="3">
        <f>(Table1[[#This Row],[Profit]]/Table1[[#This Row],[Sales_Amount]])*100</f>
        <v>14.714603645612549</v>
      </c>
      <c r="M458" s="4" t="str" cm="1">
        <f t="array" ref="M458">_xlfn.IFS(Table1[[#This Row],[Sales_Amount]]&gt;200000,"High",AND(Table1[[#This Row],[Sales_Amount]]&gt;100000,Table1[[#This Row],[Sales_Amount]]&lt;200000),"Medium",Table1[[#This Row],[Sales_Amount]]&lt;100000,"Low")</f>
        <v>Low</v>
      </c>
      <c r="N458" t="str">
        <f>TEXT(Table1[[#This Row],[Order_Date]],"MMMM")</f>
        <v>September</v>
      </c>
      <c r="O458">
        <f>YEAR(Table1[[#This Row],[Order_Date]])</f>
        <v>2026</v>
      </c>
    </row>
    <row r="459" spans="1:15" x14ac:dyDescent="0.3">
      <c r="A459" t="s">
        <v>490</v>
      </c>
      <c r="B459" s="1">
        <v>46278</v>
      </c>
      <c r="C459" t="s">
        <v>28</v>
      </c>
      <c r="D459" t="s">
        <v>29</v>
      </c>
      <c r="E459" t="s">
        <v>19</v>
      </c>
      <c r="F459" s="3">
        <v>8</v>
      </c>
      <c r="G459" s="4">
        <v>21528</v>
      </c>
      <c r="H459" s="4">
        <v>172224</v>
      </c>
      <c r="I459" s="4">
        <v>117254.58</v>
      </c>
      <c r="J459" s="4">
        <v>54969.42</v>
      </c>
      <c r="K459" t="s">
        <v>23</v>
      </c>
      <c r="L459" s="3">
        <f>(Table1[[#This Row],[Profit]]/Table1[[#This Row],[Sales_Amount]])*100</f>
        <v>31.917398272017838</v>
      </c>
      <c r="M459" s="4" t="str" cm="1">
        <f t="array" ref="M459">_xlfn.IFS(Table1[[#This Row],[Sales_Amount]]&gt;200000,"High",AND(Table1[[#This Row],[Sales_Amount]]&gt;100000,Table1[[#This Row],[Sales_Amount]]&lt;200000),"Medium",Table1[[#This Row],[Sales_Amount]]&lt;100000,"Low")</f>
        <v>Medium</v>
      </c>
      <c r="N459" t="str">
        <f>TEXT(Table1[[#This Row],[Order_Date]],"MMMM")</f>
        <v>September</v>
      </c>
      <c r="O459">
        <f>YEAR(Table1[[#This Row],[Order_Date]])</f>
        <v>2026</v>
      </c>
    </row>
    <row r="460" spans="1:15" x14ac:dyDescent="0.3">
      <c r="A460" t="s">
        <v>491</v>
      </c>
      <c r="B460" s="1">
        <v>46279</v>
      </c>
      <c r="C460" t="s">
        <v>40</v>
      </c>
      <c r="D460" t="s">
        <v>18</v>
      </c>
      <c r="E460" t="s">
        <v>22</v>
      </c>
      <c r="F460" s="3">
        <v>7</v>
      </c>
      <c r="G460" s="4">
        <v>49058</v>
      </c>
      <c r="H460" s="4">
        <v>343406</v>
      </c>
      <c r="I460" s="4">
        <v>255953.58</v>
      </c>
      <c r="J460" s="4">
        <v>87452.42</v>
      </c>
      <c r="K460" t="s">
        <v>23</v>
      </c>
      <c r="L460" s="3">
        <f>(Table1[[#This Row],[Profit]]/Table1[[#This Row],[Sales_Amount]])*100</f>
        <v>25.466188709574091</v>
      </c>
      <c r="M460" s="4" t="str" cm="1">
        <f t="array" ref="M460">_xlfn.IFS(Table1[[#This Row],[Sales_Amount]]&gt;200000,"High",AND(Table1[[#This Row],[Sales_Amount]]&gt;100000,Table1[[#This Row],[Sales_Amount]]&lt;200000),"Medium",Table1[[#This Row],[Sales_Amount]]&lt;100000,"Low")</f>
        <v>High</v>
      </c>
      <c r="N460" t="str">
        <f>TEXT(Table1[[#This Row],[Order_Date]],"MMMM")</f>
        <v>September</v>
      </c>
      <c r="O460">
        <f>YEAR(Table1[[#This Row],[Order_Date]])</f>
        <v>2026</v>
      </c>
    </row>
    <row r="461" spans="1:15" x14ac:dyDescent="0.3">
      <c r="A461" t="s">
        <v>492</v>
      </c>
      <c r="B461" s="1">
        <v>46280</v>
      </c>
      <c r="C461" t="s">
        <v>17</v>
      </c>
      <c r="D461" t="s">
        <v>13</v>
      </c>
      <c r="E461" t="s">
        <v>32</v>
      </c>
      <c r="F461" s="3">
        <v>9</v>
      </c>
      <c r="G461" s="4">
        <v>26936</v>
      </c>
      <c r="H461" s="4">
        <v>242424</v>
      </c>
      <c r="I461" s="4">
        <v>155319.82999999999</v>
      </c>
      <c r="J461" s="4">
        <v>87104.17</v>
      </c>
      <c r="K461" t="s">
        <v>23</v>
      </c>
      <c r="L461" s="3">
        <f>(Table1[[#This Row],[Profit]]/Table1[[#This Row],[Sales_Amount]])*100</f>
        <v>35.930506055506058</v>
      </c>
      <c r="M461" s="4" t="str" cm="1">
        <f t="array" ref="M461">_xlfn.IFS(Table1[[#This Row],[Sales_Amount]]&gt;200000,"High",AND(Table1[[#This Row],[Sales_Amount]]&gt;100000,Table1[[#This Row],[Sales_Amount]]&lt;200000),"Medium",Table1[[#This Row],[Sales_Amount]]&lt;100000,"Low")</f>
        <v>High</v>
      </c>
      <c r="N461" t="str">
        <f>TEXT(Table1[[#This Row],[Order_Date]],"MMMM")</f>
        <v>September</v>
      </c>
      <c r="O461">
        <f>YEAR(Table1[[#This Row],[Order_Date]])</f>
        <v>2026</v>
      </c>
    </row>
    <row r="462" spans="1:15" x14ac:dyDescent="0.3">
      <c r="A462" t="s">
        <v>493</v>
      </c>
      <c r="B462" s="1">
        <v>46281</v>
      </c>
      <c r="C462" t="s">
        <v>40</v>
      </c>
      <c r="D462" t="s">
        <v>51</v>
      </c>
      <c r="E462" t="s">
        <v>14</v>
      </c>
      <c r="F462" s="3">
        <v>4</v>
      </c>
      <c r="G462" s="4">
        <v>2667</v>
      </c>
      <c r="H462" s="4">
        <v>10668</v>
      </c>
      <c r="I462" s="4">
        <v>7861.62</v>
      </c>
      <c r="J462" s="4">
        <v>2806.38</v>
      </c>
      <c r="K462" t="s">
        <v>26</v>
      </c>
      <c r="L462" s="3">
        <f>(Table1[[#This Row],[Profit]]/Table1[[#This Row],[Sales_Amount]])*100</f>
        <v>26.306524184476942</v>
      </c>
      <c r="M462" s="4" t="str" cm="1">
        <f t="array" ref="M462">_xlfn.IFS(Table1[[#This Row],[Sales_Amount]]&gt;200000,"High",AND(Table1[[#This Row],[Sales_Amount]]&gt;100000,Table1[[#This Row],[Sales_Amount]]&lt;200000),"Medium",Table1[[#This Row],[Sales_Amount]]&lt;100000,"Low")</f>
        <v>Low</v>
      </c>
      <c r="N462" t="str">
        <f>TEXT(Table1[[#This Row],[Order_Date]],"MMMM")</f>
        <v>September</v>
      </c>
      <c r="O462">
        <f>YEAR(Table1[[#This Row],[Order_Date]])</f>
        <v>2026</v>
      </c>
    </row>
    <row r="463" spans="1:15" x14ac:dyDescent="0.3">
      <c r="A463" t="s">
        <v>494</v>
      </c>
      <c r="B463" s="1">
        <v>46282</v>
      </c>
      <c r="C463" t="s">
        <v>17</v>
      </c>
      <c r="D463" t="s">
        <v>18</v>
      </c>
      <c r="E463" t="s">
        <v>37</v>
      </c>
      <c r="F463" s="3">
        <v>9</v>
      </c>
      <c r="G463" s="4">
        <v>26514</v>
      </c>
      <c r="H463" s="4">
        <v>238626</v>
      </c>
      <c r="I463" s="4">
        <v>188663.19</v>
      </c>
      <c r="J463" s="4">
        <v>49962.81</v>
      </c>
      <c r="K463" t="s">
        <v>23</v>
      </c>
      <c r="L463" s="3">
        <f>(Table1[[#This Row],[Profit]]/Table1[[#This Row],[Sales_Amount]])*100</f>
        <v>20.937705866083327</v>
      </c>
      <c r="M463" s="4" t="str" cm="1">
        <f t="array" ref="M463">_xlfn.IFS(Table1[[#This Row],[Sales_Amount]]&gt;200000,"High",AND(Table1[[#This Row],[Sales_Amount]]&gt;100000,Table1[[#This Row],[Sales_Amount]]&lt;200000),"Medium",Table1[[#This Row],[Sales_Amount]]&lt;100000,"Low")</f>
        <v>High</v>
      </c>
      <c r="N463" t="str">
        <f>TEXT(Table1[[#This Row],[Order_Date]],"MMMM")</f>
        <v>September</v>
      </c>
      <c r="O463">
        <f>YEAR(Table1[[#This Row],[Order_Date]])</f>
        <v>2026</v>
      </c>
    </row>
    <row r="464" spans="1:15" x14ac:dyDescent="0.3">
      <c r="A464" t="s">
        <v>495</v>
      </c>
      <c r="B464" s="1">
        <v>46283</v>
      </c>
      <c r="C464" t="s">
        <v>28</v>
      </c>
      <c r="D464" t="s">
        <v>34</v>
      </c>
      <c r="E464" t="s">
        <v>37</v>
      </c>
      <c r="F464" s="3">
        <v>10</v>
      </c>
      <c r="G464" s="4">
        <v>29735</v>
      </c>
      <c r="H464" s="4">
        <v>297350</v>
      </c>
      <c r="I464" s="4">
        <v>194251.35</v>
      </c>
      <c r="J464" s="4">
        <v>103098.65</v>
      </c>
      <c r="K464" t="s">
        <v>26</v>
      </c>
      <c r="L464" s="3">
        <f>(Table1[[#This Row],[Profit]]/Table1[[#This Row],[Sales_Amount]])*100</f>
        <v>34.672490331259461</v>
      </c>
      <c r="M464" s="4" t="str" cm="1">
        <f t="array" ref="M464">_xlfn.IFS(Table1[[#This Row],[Sales_Amount]]&gt;200000,"High",AND(Table1[[#This Row],[Sales_Amount]]&gt;100000,Table1[[#This Row],[Sales_Amount]]&lt;200000),"Medium",Table1[[#This Row],[Sales_Amount]]&lt;100000,"Low")</f>
        <v>High</v>
      </c>
      <c r="N464" t="str">
        <f>TEXT(Table1[[#This Row],[Order_Date]],"MMMM")</f>
        <v>September</v>
      </c>
      <c r="O464">
        <f>YEAR(Table1[[#This Row],[Order_Date]])</f>
        <v>2026</v>
      </c>
    </row>
    <row r="465" spans="1:15" x14ac:dyDescent="0.3">
      <c r="A465" t="s">
        <v>496</v>
      </c>
      <c r="B465" s="1">
        <v>46284</v>
      </c>
      <c r="C465" t="s">
        <v>17</v>
      </c>
      <c r="D465" t="s">
        <v>13</v>
      </c>
      <c r="E465" t="s">
        <v>32</v>
      </c>
      <c r="F465" s="3">
        <v>2</v>
      </c>
      <c r="G465" s="4">
        <v>19182</v>
      </c>
      <c r="H465" s="4">
        <v>38364</v>
      </c>
      <c r="I465" s="4">
        <v>23334.33</v>
      </c>
      <c r="J465" s="4">
        <v>15029.67</v>
      </c>
      <c r="K465" t="s">
        <v>23</v>
      </c>
      <c r="L465" s="3">
        <f>(Table1[[#This Row],[Profit]]/Table1[[#This Row],[Sales_Amount]])*100</f>
        <v>39.176493587738506</v>
      </c>
      <c r="M465" s="4" t="str" cm="1">
        <f t="array" ref="M465">_xlfn.IFS(Table1[[#This Row],[Sales_Amount]]&gt;200000,"High",AND(Table1[[#This Row],[Sales_Amount]]&gt;100000,Table1[[#This Row],[Sales_Amount]]&lt;200000),"Medium",Table1[[#This Row],[Sales_Amount]]&lt;100000,"Low")</f>
        <v>Low</v>
      </c>
      <c r="N465" t="str">
        <f>TEXT(Table1[[#This Row],[Order_Date]],"MMMM")</f>
        <v>September</v>
      </c>
      <c r="O465">
        <f>YEAR(Table1[[#This Row],[Order_Date]])</f>
        <v>2026</v>
      </c>
    </row>
    <row r="466" spans="1:15" x14ac:dyDescent="0.3">
      <c r="A466" t="s">
        <v>497</v>
      </c>
      <c r="B466" s="1">
        <v>46285</v>
      </c>
      <c r="C466" t="s">
        <v>28</v>
      </c>
      <c r="D466" t="s">
        <v>18</v>
      </c>
      <c r="E466" t="s">
        <v>19</v>
      </c>
      <c r="F466" s="3">
        <v>4</v>
      </c>
      <c r="G466" s="4">
        <v>44913</v>
      </c>
      <c r="H466" s="4">
        <v>179652</v>
      </c>
      <c r="I466" s="4">
        <v>118933.09</v>
      </c>
      <c r="J466" s="4">
        <v>60718.91</v>
      </c>
      <c r="K466" t="s">
        <v>15</v>
      </c>
      <c r="L466" s="3">
        <f>(Table1[[#This Row],[Profit]]/Table1[[#This Row],[Sales_Amount]])*100</f>
        <v>33.798070714492468</v>
      </c>
      <c r="M466" s="4" t="str" cm="1">
        <f t="array" ref="M466">_xlfn.IFS(Table1[[#This Row],[Sales_Amount]]&gt;200000,"High",AND(Table1[[#This Row],[Sales_Amount]]&gt;100000,Table1[[#This Row],[Sales_Amount]]&lt;200000),"Medium",Table1[[#This Row],[Sales_Amount]]&lt;100000,"Low")</f>
        <v>Medium</v>
      </c>
      <c r="N466" t="str">
        <f>TEXT(Table1[[#This Row],[Order_Date]],"MMMM")</f>
        <v>September</v>
      </c>
      <c r="O466">
        <f>YEAR(Table1[[#This Row],[Order_Date]])</f>
        <v>2026</v>
      </c>
    </row>
    <row r="467" spans="1:15" x14ac:dyDescent="0.3">
      <c r="A467" t="s">
        <v>498</v>
      </c>
      <c r="B467" s="1">
        <v>46286</v>
      </c>
      <c r="C467" t="s">
        <v>12</v>
      </c>
      <c r="D467" t="s">
        <v>44</v>
      </c>
      <c r="E467" t="s">
        <v>22</v>
      </c>
      <c r="F467" s="3">
        <v>3</v>
      </c>
      <c r="G467" s="4">
        <v>39896</v>
      </c>
      <c r="H467" s="4">
        <v>119688</v>
      </c>
      <c r="I467" s="4">
        <v>100568.97</v>
      </c>
      <c r="J467" s="4">
        <v>19119.03</v>
      </c>
      <c r="K467" t="s">
        <v>26</v>
      </c>
      <c r="L467" s="3">
        <f>(Table1[[#This Row],[Profit]]/Table1[[#This Row],[Sales_Amount]])*100</f>
        <v>15.974057549629034</v>
      </c>
      <c r="M467" s="4" t="str" cm="1">
        <f t="array" ref="M467">_xlfn.IFS(Table1[[#This Row],[Sales_Amount]]&gt;200000,"High",AND(Table1[[#This Row],[Sales_Amount]]&gt;100000,Table1[[#This Row],[Sales_Amount]]&lt;200000),"Medium",Table1[[#This Row],[Sales_Amount]]&lt;100000,"Low")</f>
        <v>Medium</v>
      </c>
      <c r="N467" t="str">
        <f>TEXT(Table1[[#This Row],[Order_Date]],"MMMM")</f>
        <v>September</v>
      </c>
      <c r="O467">
        <f>YEAR(Table1[[#This Row],[Order_Date]])</f>
        <v>2026</v>
      </c>
    </row>
    <row r="468" spans="1:15" x14ac:dyDescent="0.3">
      <c r="A468" t="s">
        <v>499</v>
      </c>
      <c r="B468" s="1">
        <v>46287</v>
      </c>
      <c r="C468" t="s">
        <v>28</v>
      </c>
      <c r="D468" t="s">
        <v>44</v>
      </c>
      <c r="E468" t="s">
        <v>32</v>
      </c>
      <c r="F468" s="3">
        <v>7</v>
      </c>
      <c r="G468" s="4">
        <v>25172</v>
      </c>
      <c r="H468" s="4">
        <v>176204</v>
      </c>
      <c r="I468" s="4">
        <v>150738.26999999999</v>
      </c>
      <c r="J468" s="4">
        <v>25465.73</v>
      </c>
      <c r="K468" t="s">
        <v>23</v>
      </c>
      <c r="L468" s="3">
        <f>(Table1[[#This Row],[Profit]]/Table1[[#This Row],[Sales_Amount]])*100</f>
        <v>14.452413112074641</v>
      </c>
      <c r="M468" s="4" t="str" cm="1">
        <f t="array" ref="M468">_xlfn.IFS(Table1[[#This Row],[Sales_Amount]]&gt;200000,"High",AND(Table1[[#This Row],[Sales_Amount]]&gt;100000,Table1[[#This Row],[Sales_Amount]]&lt;200000),"Medium",Table1[[#This Row],[Sales_Amount]]&lt;100000,"Low")</f>
        <v>Medium</v>
      </c>
      <c r="N468" t="str">
        <f>TEXT(Table1[[#This Row],[Order_Date]],"MMMM")</f>
        <v>September</v>
      </c>
      <c r="O468">
        <f>YEAR(Table1[[#This Row],[Order_Date]])</f>
        <v>2026</v>
      </c>
    </row>
    <row r="469" spans="1:15" x14ac:dyDescent="0.3">
      <c r="A469" t="s">
        <v>500</v>
      </c>
      <c r="B469" s="1">
        <v>46288</v>
      </c>
      <c r="C469" t="s">
        <v>17</v>
      </c>
      <c r="D469" t="s">
        <v>18</v>
      </c>
      <c r="E469" t="s">
        <v>32</v>
      </c>
      <c r="F469" s="3">
        <v>9</v>
      </c>
      <c r="G469" s="4">
        <v>41368</v>
      </c>
      <c r="H469" s="4">
        <v>372312</v>
      </c>
      <c r="I469" s="4">
        <v>267746.59999999998</v>
      </c>
      <c r="J469" s="4">
        <v>104565.4</v>
      </c>
      <c r="K469" t="s">
        <v>26</v>
      </c>
      <c r="L469" s="3">
        <f>(Table1[[#This Row],[Profit]]/Table1[[#This Row],[Sales_Amount]])*100</f>
        <v>28.085422978577107</v>
      </c>
      <c r="M469" s="4" t="str" cm="1">
        <f t="array" ref="M469">_xlfn.IFS(Table1[[#This Row],[Sales_Amount]]&gt;200000,"High",AND(Table1[[#This Row],[Sales_Amount]]&gt;100000,Table1[[#This Row],[Sales_Amount]]&lt;200000),"Medium",Table1[[#This Row],[Sales_Amount]]&lt;100000,"Low")</f>
        <v>High</v>
      </c>
      <c r="N469" t="str">
        <f>TEXT(Table1[[#This Row],[Order_Date]],"MMMM")</f>
        <v>September</v>
      </c>
      <c r="O469">
        <f>YEAR(Table1[[#This Row],[Order_Date]])</f>
        <v>2026</v>
      </c>
    </row>
    <row r="470" spans="1:15" x14ac:dyDescent="0.3">
      <c r="A470" t="s">
        <v>501</v>
      </c>
      <c r="B470" s="1">
        <v>46289</v>
      </c>
      <c r="C470" t="s">
        <v>17</v>
      </c>
      <c r="D470" t="s">
        <v>56</v>
      </c>
      <c r="E470" t="s">
        <v>19</v>
      </c>
      <c r="F470" s="3">
        <v>10</v>
      </c>
      <c r="G470" s="4">
        <v>40414</v>
      </c>
      <c r="H470" s="4">
        <v>404140</v>
      </c>
      <c r="I470" s="4">
        <v>276756.31</v>
      </c>
      <c r="J470" s="4">
        <v>127383.69</v>
      </c>
      <c r="K470" t="s">
        <v>15</v>
      </c>
      <c r="L470" s="3">
        <f>(Table1[[#This Row],[Profit]]/Table1[[#This Row],[Sales_Amount]])*100</f>
        <v>31.519693670510218</v>
      </c>
      <c r="M470" s="4" t="str" cm="1">
        <f t="array" ref="M470">_xlfn.IFS(Table1[[#This Row],[Sales_Amount]]&gt;200000,"High",AND(Table1[[#This Row],[Sales_Amount]]&gt;100000,Table1[[#This Row],[Sales_Amount]]&lt;200000),"Medium",Table1[[#This Row],[Sales_Amount]]&lt;100000,"Low")</f>
        <v>High</v>
      </c>
      <c r="N470" t="str">
        <f>TEXT(Table1[[#This Row],[Order_Date]],"MMMM")</f>
        <v>September</v>
      </c>
      <c r="O470">
        <f>YEAR(Table1[[#This Row],[Order_Date]])</f>
        <v>2026</v>
      </c>
    </row>
    <row r="471" spans="1:15" x14ac:dyDescent="0.3">
      <c r="A471" t="s">
        <v>502</v>
      </c>
      <c r="B471" s="1">
        <v>46290</v>
      </c>
      <c r="C471" t="s">
        <v>40</v>
      </c>
      <c r="D471" t="s">
        <v>51</v>
      </c>
      <c r="E471" t="s">
        <v>32</v>
      </c>
      <c r="F471" s="3">
        <v>6</v>
      </c>
      <c r="G471" s="4">
        <v>18645</v>
      </c>
      <c r="H471" s="4">
        <v>111870</v>
      </c>
      <c r="I471" s="4">
        <v>75886.350000000006</v>
      </c>
      <c r="J471" s="4">
        <v>35983.65</v>
      </c>
      <c r="K471" t="s">
        <v>23</v>
      </c>
      <c r="L471" s="3">
        <f>(Table1[[#This Row],[Profit]]/Table1[[#This Row],[Sales_Amount]])*100</f>
        <v>32.165593993027628</v>
      </c>
      <c r="M471" s="4" t="str" cm="1">
        <f t="array" ref="M471">_xlfn.IFS(Table1[[#This Row],[Sales_Amount]]&gt;200000,"High",AND(Table1[[#This Row],[Sales_Amount]]&gt;100000,Table1[[#This Row],[Sales_Amount]]&lt;200000),"Medium",Table1[[#This Row],[Sales_Amount]]&lt;100000,"Low")</f>
        <v>Medium</v>
      </c>
      <c r="N471" t="str">
        <f>TEXT(Table1[[#This Row],[Order_Date]],"MMMM")</f>
        <v>September</v>
      </c>
      <c r="O471">
        <f>YEAR(Table1[[#This Row],[Order_Date]])</f>
        <v>2026</v>
      </c>
    </row>
    <row r="472" spans="1:15" x14ac:dyDescent="0.3">
      <c r="A472" t="s">
        <v>503</v>
      </c>
      <c r="B472" s="1">
        <v>46291</v>
      </c>
      <c r="C472" t="s">
        <v>40</v>
      </c>
      <c r="D472" t="s">
        <v>13</v>
      </c>
      <c r="E472" t="s">
        <v>22</v>
      </c>
      <c r="F472" s="3">
        <v>1</v>
      </c>
      <c r="G472" s="4">
        <v>39823</v>
      </c>
      <c r="H472" s="4">
        <v>39823</v>
      </c>
      <c r="I472" s="4">
        <v>28721.52</v>
      </c>
      <c r="J472" s="4">
        <v>11101.48</v>
      </c>
      <c r="K472" t="s">
        <v>15</v>
      </c>
      <c r="L472" s="3">
        <f>(Table1[[#This Row],[Profit]]/Table1[[#This Row],[Sales_Amount]])*100</f>
        <v>27.877055972679106</v>
      </c>
      <c r="M472" s="4" t="str" cm="1">
        <f t="array" ref="M472">_xlfn.IFS(Table1[[#This Row],[Sales_Amount]]&gt;200000,"High",AND(Table1[[#This Row],[Sales_Amount]]&gt;100000,Table1[[#This Row],[Sales_Amount]]&lt;200000),"Medium",Table1[[#This Row],[Sales_Amount]]&lt;100000,"Low")</f>
        <v>Low</v>
      </c>
      <c r="N472" t="str">
        <f>TEXT(Table1[[#This Row],[Order_Date]],"MMMM")</f>
        <v>September</v>
      </c>
      <c r="O472">
        <f>YEAR(Table1[[#This Row],[Order_Date]])</f>
        <v>2026</v>
      </c>
    </row>
    <row r="473" spans="1:15" x14ac:dyDescent="0.3">
      <c r="A473" t="s">
        <v>504</v>
      </c>
      <c r="B473" s="1">
        <v>46292</v>
      </c>
      <c r="C473" t="s">
        <v>28</v>
      </c>
      <c r="D473" t="s">
        <v>21</v>
      </c>
      <c r="E473" t="s">
        <v>37</v>
      </c>
      <c r="F473" s="3">
        <v>5</v>
      </c>
      <c r="G473" s="4">
        <v>17501</v>
      </c>
      <c r="H473" s="4">
        <v>87505</v>
      </c>
      <c r="I473" s="4">
        <v>76310.789999999994</v>
      </c>
      <c r="J473" s="4">
        <v>11194.21</v>
      </c>
      <c r="K473" t="s">
        <v>15</v>
      </c>
      <c r="L473" s="3">
        <f>(Table1[[#This Row],[Profit]]/Table1[[#This Row],[Sales_Amount]])*100</f>
        <v>12.7926518484658</v>
      </c>
      <c r="M473" s="4" t="str" cm="1">
        <f t="array" ref="M473">_xlfn.IFS(Table1[[#This Row],[Sales_Amount]]&gt;200000,"High",AND(Table1[[#This Row],[Sales_Amount]]&gt;100000,Table1[[#This Row],[Sales_Amount]]&lt;200000),"Medium",Table1[[#This Row],[Sales_Amount]]&lt;100000,"Low")</f>
        <v>Low</v>
      </c>
      <c r="N473" t="str">
        <f>TEXT(Table1[[#This Row],[Order_Date]],"MMMM")</f>
        <v>September</v>
      </c>
      <c r="O473">
        <f>YEAR(Table1[[#This Row],[Order_Date]])</f>
        <v>2026</v>
      </c>
    </row>
    <row r="474" spans="1:15" x14ac:dyDescent="0.3">
      <c r="A474" t="s">
        <v>505</v>
      </c>
      <c r="B474" s="1">
        <v>46293</v>
      </c>
      <c r="C474" t="s">
        <v>12</v>
      </c>
      <c r="D474" t="s">
        <v>56</v>
      </c>
      <c r="E474" t="s">
        <v>19</v>
      </c>
      <c r="F474" s="3">
        <v>10</v>
      </c>
      <c r="G474" s="4">
        <v>12946</v>
      </c>
      <c r="H474" s="4">
        <v>129460</v>
      </c>
      <c r="I474" s="4">
        <v>91003.92</v>
      </c>
      <c r="J474" s="4">
        <v>38456.080000000002</v>
      </c>
      <c r="K474" t="s">
        <v>26</v>
      </c>
      <c r="L474" s="3">
        <f>(Table1[[#This Row],[Profit]]/Table1[[#This Row],[Sales_Amount]])*100</f>
        <v>29.704989958288273</v>
      </c>
      <c r="M474" s="4" t="str" cm="1">
        <f t="array" ref="M474">_xlfn.IFS(Table1[[#This Row],[Sales_Amount]]&gt;200000,"High",AND(Table1[[#This Row],[Sales_Amount]]&gt;100000,Table1[[#This Row],[Sales_Amount]]&lt;200000),"Medium",Table1[[#This Row],[Sales_Amount]]&lt;100000,"Low")</f>
        <v>Medium</v>
      </c>
      <c r="N474" t="str">
        <f>TEXT(Table1[[#This Row],[Order_Date]],"MMMM")</f>
        <v>September</v>
      </c>
      <c r="O474">
        <f>YEAR(Table1[[#This Row],[Order_Date]])</f>
        <v>2026</v>
      </c>
    </row>
    <row r="475" spans="1:15" x14ac:dyDescent="0.3">
      <c r="A475" t="s">
        <v>506</v>
      </c>
      <c r="B475" s="1">
        <v>46294</v>
      </c>
      <c r="C475" t="s">
        <v>12</v>
      </c>
      <c r="D475" t="s">
        <v>44</v>
      </c>
      <c r="E475" t="s">
        <v>32</v>
      </c>
      <c r="F475" s="3">
        <v>3</v>
      </c>
      <c r="G475" s="4">
        <v>43597</v>
      </c>
      <c r="H475" s="4">
        <v>130791</v>
      </c>
      <c r="I475" s="4">
        <v>112865.89</v>
      </c>
      <c r="J475" s="4">
        <v>17925.11</v>
      </c>
      <c r="K475" t="s">
        <v>15</v>
      </c>
      <c r="L475" s="3">
        <f>(Table1[[#This Row],[Profit]]/Table1[[#This Row],[Sales_Amount]])*100</f>
        <v>13.705155553516679</v>
      </c>
      <c r="M475" s="4" t="str" cm="1">
        <f t="array" ref="M475">_xlfn.IFS(Table1[[#This Row],[Sales_Amount]]&gt;200000,"High",AND(Table1[[#This Row],[Sales_Amount]]&gt;100000,Table1[[#This Row],[Sales_Amount]]&lt;200000),"Medium",Table1[[#This Row],[Sales_Amount]]&lt;100000,"Low")</f>
        <v>Medium</v>
      </c>
      <c r="N475" t="str">
        <f>TEXT(Table1[[#This Row],[Order_Date]],"MMMM")</f>
        <v>September</v>
      </c>
      <c r="O475">
        <f>YEAR(Table1[[#This Row],[Order_Date]])</f>
        <v>2026</v>
      </c>
    </row>
    <row r="476" spans="1:15" x14ac:dyDescent="0.3">
      <c r="A476" t="s">
        <v>507</v>
      </c>
      <c r="B476" s="1">
        <v>46295</v>
      </c>
      <c r="C476" t="s">
        <v>12</v>
      </c>
      <c r="D476" t="s">
        <v>34</v>
      </c>
      <c r="E476" t="s">
        <v>22</v>
      </c>
      <c r="F476" s="3">
        <v>5</v>
      </c>
      <c r="G476" s="4">
        <v>48025</v>
      </c>
      <c r="H476" s="4">
        <v>240125</v>
      </c>
      <c r="I476" s="4">
        <v>202306.07</v>
      </c>
      <c r="J476" s="4">
        <v>37818.93</v>
      </c>
      <c r="K476" t="s">
        <v>15</v>
      </c>
      <c r="L476" s="3">
        <f>(Table1[[#This Row],[Profit]]/Table1[[#This Row],[Sales_Amount]])*100</f>
        <v>15.749684539302446</v>
      </c>
      <c r="M476" s="4" t="str" cm="1">
        <f t="array" ref="M476">_xlfn.IFS(Table1[[#This Row],[Sales_Amount]]&gt;200000,"High",AND(Table1[[#This Row],[Sales_Amount]]&gt;100000,Table1[[#This Row],[Sales_Amount]]&lt;200000),"Medium",Table1[[#This Row],[Sales_Amount]]&lt;100000,"Low")</f>
        <v>High</v>
      </c>
      <c r="N476" t="str">
        <f>TEXT(Table1[[#This Row],[Order_Date]],"MMMM")</f>
        <v>September</v>
      </c>
      <c r="O476">
        <f>YEAR(Table1[[#This Row],[Order_Date]])</f>
        <v>2026</v>
      </c>
    </row>
    <row r="477" spans="1:15" x14ac:dyDescent="0.3">
      <c r="A477" t="s">
        <v>508</v>
      </c>
      <c r="B477" s="1">
        <v>46296</v>
      </c>
      <c r="C477" t="s">
        <v>28</v>
      </c>
      <c r="D477" t="s">
        <v>34</v>
      </c>
      <c r="E477" t="s">
        <v>32</v>
      </c>
      <c r="F477" s="3">
        <v>4</v>
      </c>
      <c r="G477" s="4">
        <v>49272</v>
      </c>
      <c r="H477" s="4">
        <v>197088</v>
      </c>
      <c r="I477" s="4">
        <v>169777.45</v>
      </c>
      <c r="J477" s="4">
        <v>27310.55</v>
      </c>
      <c r="K477" t="s">
        <v>26</v>
      </c>
      <c r="L477" s="3">
        <f>(Table1[[#This Row],[Profit]]/Table1[[#This Row],[Sales_Amount]])*100</f>
        <v>13.857033406397143</v>
      </c>
      <c r="M477" s="4" t="str" cm="1">
        <f t="array" ref="M477">_xlfn.IFS(Table1[[#This Row],[Sales_Amount]]&gt;200000,"High",AND(Table1[[#This Row],[Sales_Amount]]&gt;100000,Table1[[#This Row],[Sales_Amount]]&lt;200000),"Medium",Table1[[#This Row],[Sales_Amount]]&lt;100000,"Low")</f>
        <v>Medium</v>
      </c>
      <c r="N477" t="str">
        <f>TEXT(Table1[[#This Row],[Order_Date]],"MMMM")</f>
        <v>October</v>
      </c>
      <c r="O477">
        <f>YEAR(Table1[[#This Row],[Order_Date]])</f>
        <v>2026</v>
      </c>
    </row>
    <row r="478" spans="1:15" x14ac:dyDescent="0.3">
      <c r="A478" t="s">
        <v>509</v>
      </c>
      <c r="B478" s="1">
        <v>46297</v>
      </c>
      <c r="C478" t="s">
        <v>28</v>
      </c>
      <c r="D478" t="s">
        <v>18</v>
      </c>
      <c r="E478" t="s">
        <v>25</v>
      </c>
      <c r="F478" s="3">
        <v>5</v>
      </c>
      <c r="G478" s="4">
        <v>30893</v>
      </c>
      <c r="H478" s="4">
        <v>154465</v>
      </c>
      <c r="I478" s="4">
        <v>132123.82999999999</v>
      </c>
      <c r="J478" s="4">
        <v>22341.17</v>
      </c>
      <c r="K478" t="s">
        <v>15</v>
      </c>
      <c r="L478" s="3">
        <f>(Table1[[#This Row],[Profit]]/Table1[[#This Row],[Sales_Amount]])*100</f>
        <v>14.463580746447413</v>
      </c>
      <c r="M478" s="4" t="str" cm="1">
        <f t="array" ref="M478">_xlfn.IFS(Table1[[#This Row],[Sales_Amount]]&gt;200000,"High",AND(Table1[[#This Row],[Sales_Amount]]&gt;100000,Table1[[#This Row],[Sales_Amount]]&lt;200000),"Medium",Table1[[#This Row],[Sales_Amount]]&lt;100000,"Low")</f>
        <v>Medium</v>
      </c>
      <c r="N478" t="str">
        <f>TEXT(Table1[[#This Row],[Order_Date]],"MMMM")</f>
        <v>October</v>
      </c>
      <c r="O478">
        <f>YEAR(Table1[[#This Row],[Order_Date]])</f>
        <v>2026</v>
      </c>
    </row>
    <row r="479" spans="1:15" x14ac:dyDescent="0.3">
      <c r="A479" t="s">
        <v>510</v>
      </c>
      <c r="B479" s="1">
        <v>46298</v>
      </c>
      <c r="C479" t="s">
        <v>28</v>
      </c>
      <c r="D479" t="s">
        <v>44</v>
      </c>
      <c r="E479" t="s">
        <v>22</v>
      </c>
      <c r="F479" s="3">
        <v>9</v>
      </c>
      <c r="G479" s="4">
        <v>8352</v>
      </c>
      <c r="H479" s="4">
        <v>75168</v>
      </c>
      <c r="I479" s="4">
        <v>64663.22</v>
      </c>
      <c r="J479" s="4">
        <v>10504.78</v>
      </c>
      <c r="K479" t="s">
        <v>58</v>
      </c>
      <c r="L479" s="3">
        <f>(Table1[[#This Row],[Profit]]/Table1[[#This Row],[Sales_Amount]])*100</f>
        <v>13.975069178373777</v>
      </c>
      <c r="M479" s="4" t="str" cm="1">
        <f t="array" ref="M479">_xlfn.IFS(Table1[[#This Row],[Sales_Amount]]&gt;200000,"High",AND(Table1[[#This Row],[Sales_Amount]]&gt;100000,Table1[[#This Row],[Sales_Amount]]&lt;200000),"Medium",Table1[[#This Row],[Sales_Amount]]&lt;100000,"Low")</f>
        <v>Low</v>
      </c>
      <c r="N479" t="str">
        <f>TEXT(Table1[[#This Row],[Order_Date]],"MMMM")</f>
        <v>October</v>
      </c>
      <c r="O479">
        <f>YEAR(Table1[[#This Row],[Order_Date]])</f>
        <v>2026</v>
      </c>
    </row>
    <row r="480" spans="1:15" x14ac:dyDescent="0.3">
      <c r="A480" t="s">
        <v>511</v>
      </c>
      <c r="B480" s="1">
        <v>46299</v>
      </c>
      <c r="C480" t="s">
        <v>28</v>
      </c>
      <c r="D480" t="s">
        <v>13</v>
      </c>
      <c r="E480" t="s">
        <v>22</v>
      </c>
      <c r="F480" s="3">
        <v>3</v>
      </c>
      <c r="G480" s="4">
        <v>13626</v>
      </c>
      <c r="H480" s="4">
        <v>40878</v>
      </c>
      <c r="I480" s="4">
        <v>28729.1</v>
      </c>
      <c r="J480" s="4">
        <v>12148.9</v>
      </c>
      <c r="K480" t="s">
        <v>26</v>
      </c>
      <c r="L480" s="3">
        <f>(Table1[[#This Row],[Profit]]/Table1[[#This Row],[Sales_Amount]])*100</f>
        <v>29.719898233768777</v>
      </c>
      <c r="M480" s="4" t="str" cm="1">
        <f t="array" ref="M480">_xlfn.IFS(Table1[[#This Row],[Sales_Amount]]&gt;200000,"High",AND(Table1[[#This Row],[Sales_Amount]]&gt;100000,Table1[[#This Row],[Sales_Amount]]&lt;200000),"Medium",Table1[[#This Row],[Sales_Amount]]&lt;100000,"Low")</f>
        <v>Low</v>
      </c>
      <c r="N480" t="str">
        <f>TEXT(Table1[[#This Row],[Order_Date]],"MMMM")</f>
        <v>October</v>
      </c>
      <c r="O480">
        <f>YEAR(Table1[[#This Row],[Order_Date]])</f>
        <v>2026</v>
      </c>
    </row>
    <row r="481" spans="1:15" x14ac:dyDescent="0.3">
      <c r="A481" t="s">
        <v>512</v>
      </c>
      <c r="B481" s="1">
        <v>46300</v>
      </c>
      <c r="C481" t="s">
        <v>12</v>
      </c>
      <c r="D481" t="s">
        <v>34</v>
      </c>
      <c r="E481" t="s">
        <v>14</v>
      </c>
      <c r="F481" s="3">
        <v>8</v>
      </c>
      <c r="G481" s="4">
        <v>22299</v>
      </c>
      <c r="H481" s="4">
        <v>178392</v>
      </c>
      <c r="I481" s="4">
        <v>140806.56</v>
      </c>
      <c r="J481" s="4">
        <v>37585.440000000002</v>
      </c>
      <c r="K481" t="s">
        <v>15</v>
      </c>
      <c r="L481" s="3">
        <f>(Table1[[#This Row],[Profit]]/Table1[[#This Row],[Sales_Amount]])*100</f>
        <v>21.069016547827257</v>
      </c>
      <c r="M481" s="4" t="str" cm="1">
        <f t="array" ref="M481">_xlfn.IFS(Table1[[#This Row],[Sales_Amount]]&gt;200000,"High",AND(Table1[[#This Row],[Sales_Amount]]&gt;100000,Table1[[#This Row],[Sales_Amount]]&lt;200000),"Medium",Table1[[#This Row],[Sales_Amount]]&lt;100000,"Low")</f>
        <v>Medium</v>
      </c>
      <c r="N481" t="str">
        <f>TEXT(Table1[[#This Row],[Order_Date]],"MMMM")</f>
        <v>October</v>
      </c>
      <c r="O481">
        <f>YEAR(Table1[[#This Row],[Order_Date]])</f>
        <v>2026</v>
      </c>
    </row>
    <row r="482" spans="1:15" x14ac:dyDescent="0.3">
      <c r="A482" t="s">
        <v>513</v>
      </c>
      <c r="B482" s="1">
        <v>46301</v>
      </c>
      <c r="C482" t="s">
        <v>12</v>
      </c>
      <c r="D482" t="s">
        <v>13</v>
      </c>
      <c r="E482" t="s">
        <v>37</v>
      </c>
      <c r="F482" s="3">
        <v>5</v>
      </c>
      <c r="G482" s="4">
        <v>14222</v>
      </c>
      <c r="H482" s="4">
        <v>71110</v>
      </c>
      <c r="I482" s="4">
        <v>58904.54</v>
      </c>
      <c r="J482" s="4">
        <v>12205.46</v>
      </c>
      <c r="K482" t="s">
        <v>58</v>
      </c>
      <c r="L482" s="3">
        <f>(Table1[[#This Row],[Profit]]/Table1[[#This Row],[Sales_Amount]])*100</f>
        <v>17.16419631556743</v>
      </c>
      <c r="M482" s="4" t="str" cm="1">
        <f t="array" ref="M482">_xlfn.IFS(Table1[[#This Row],[Sales_Amount]]&gt;200000,"High",AND(Table1[[#This Row],[Sales_Amount]]&gt;100000,Table1[[#This Row],[Sales_Amount]]&lt;200000),"Medium",Table1[[#This Row],[Sales_Amount]]&lt;100000,"Low")</f>
        <v>Low</v>
      </c>
      <c r="N482" t="str">
        <f>TEXT(Table1[[#This Row],[Order_Date]],"MMMM")</f>
        <v>October</v>
      </c>
      <c r="O482">
        <f>YEAR(Table1[[#This Row],[Order_Date]])</f>
        <v>2026</v>
      </c>
    </row>
    <row r="483" spans="1:15" x14ac:dyDescent="0.3">
      <c r="A483" t="s">
        <v>514</v>
      </c>
      <c r="B483" s="1">
        <v>46302</v>
      </c>
      <c r="C483" t="s">
        <v>28</v>
      </c>
      <c r="D483" t="s">
        <v>21</v>
      </c>
      <c r="E483" t="s">
        <v>22</v>
      </c>
      <c r="F483" s="3">
        <v>10</v>
      </c>
      <c r="G483" s="4">
        <v>28923</v>
      </c>
      <c r="H483" s="4">
        <v>289230</v>
      </c>
      <c r="I483" s="4">
        <v>228505.08</v>
      </c>
      <c r="J483" s="4">
        <v>60724.92</v>
      </c>
      <c r="K483" t="s">
        <v>58</v>
      </c>
      <c r="L483" s="3">
        <f>(Table1[[#This Row],[Profit]]/Table1[[#This Row],[Sales_Amount]])*100</f>
        <v>20.995373923866818</v>
      </c>
      <c r="M483" s="4" t="str" cm="1">
        <f t="array" ref="M483">_xlfn.IFS(Table1[[#This Row],[Sales_Amount]]&gt;200000,"High",AND(Table1[[#This Row],[Sales_Amount]]&gt;100000,Table1[[#This Row],[Sales_Amount]]&lt;200000),"Medium",Table1[[#This Row],[Sales_Amount]]&lt;100000,"Low")</f>
        <v>High</v>
      </c>
      <c r="N483" t="str">
        <f>TEXT(Table1[[#This Row],[Order_Date]],"MMMM")</f>
        <v>October</v>
      </c>
      <c r="O483">
        <f>YEAR(Table1[[#This Row],[Order_Date]])</f>
        <v>2026</v>
      </c>
    </row>
    <row r="484" spans="1:15" x14ac:dyDescent="0.3">
      <c r="A484" t="s">
        <v>515</v>
      </c>
      <c r="B484" s="1">
        <v>46303</v>
      </c>
      <c r="C484" t="s">
        <v>40</v>
      </c>
      <c r="D484" t="s">
        <v>18</v>
      </c>
      <c r="E484" t="s">
        <v>14</v>
      </c>
      <c r="F484" s="3">
        <v>1</v>
      </c>
      <c r="G484" s="4">
        <v>35481</v>
      </c>
      <c r="H484" s="4">
        <v>35481</v>
      </c>
      <c r="I484" s="4">
        <v>23411.23</v>
      </c>
      <c r="J484" s="4">
        <v>12069.77</v>
      </c>
      <c r="K484" t="s">
        <v>26</v>
      </c>
      <c r="L484" s="3">
        <f>(Table1[[#This Row],[Profit]]/Table1[[#This Row],[Sales_Amount]])*100</f>
        <v>34.01755869338519</v>
      </c>
      <c r="M484" s="4" t="str" cm="1">
        <f t="array" ref="M484">_xlfn.IFS(Table1[[#This Row],[Sales_Amount]]&gt;200000,"High",AND(Table1[[#This Row],[Sales_Amount]]&gt;100000,Table1[[#This Row],[Sales_Amount]]&lt;200000),"Medium",Table1[[#This Row],[Sales_Amount]]&lt;100000,"Low")</f>
        <v>Low</v>
      </c>
      <c r="N484" t="str">
        <f>TEXT(Table1[[#This Row],[Order_Date]],"MMMM")</f>
        <v>October</v>
      </c>
      <c r="O484">
        <f>YEAR(Table1[[#This Row],[Order_Date]])</f>
        <v>2026</v>
      </c>
    </row>
    <row r="485" spans="1:15" x14ac:dyDescent="0.3">
      <c r="A485" t="s">
        <v>516</v>
      </c>
      <c r="B485" s="1">
        <v>46304</v>
      </c>
      <c r="C485" t="s">
        <v>12</v>
      </c>
      <c r="D485" t="s">
        <v>51</v>
      </c>
      <c r="E485" t="s">
        <v>22</v>
      </c>
      <c r="F485" s="3">
        <v>1</v>
      </c>
      <c r="G485" s="4">
        <v>44851</v>
      </c>
      <c r="H485" s="4">
        <v>44851</v>
      </c>
      <c r="I485" s="4">
        <v>26966.09</v>
      </c>
      <c r="J485" s="4">
        <v>17884.91</v>
      </c>
      <c r="K485" t="s">
        <v>26</v>
      </c>
      <c r="L485" s="3">
        <f>(Table1[[#This Row],[Profit]]/Table1[[#This Row],[Sales_Amount]])*100</f>
        <v>39.876279235691513</v>
      </c>
      <c r="M485" s="4" t="str" cm="1">
        <f t="array" ref="M485">_xlfn.IFS(Table1[[#This Row],[Sales_Amount]]&gt;200000,"High",AND(Table1[[#This Row],[Sales_Amount]]&gt;100000,Table1[[#This Row],[Sales_Amount]]&lt;200000),"Medium",Table1[[#This Row],[Sales_Amount]]&lt;100000,"Low")</f>
        <v>Low</v>
      </c>
      <c r="N485" t="str">
        <f>TEXT(Table1[[#This Row],[Order_Date]],"MMMM")</f>
        <v>October</v>
      </c>
      <c r="O485">
        <f>YEAR(Table1[[#This Row],[Order_Date]])</f>
        <v>2026</v>
      </c>
    </row>
    <row r="486" spans="1:15" x14ac:dyDescent="0.3">
      <c r="A486" t="s">
        <v>517</v>
      </c>
      <c r="B486" s="1">
        <v>46305</v>
      </c>
      <c r="C486" t="s">
        <v>40</v>
      </c>
      <c r="D486" t="s">
        <v>13</v>
      </c>
      <c r="E486" t="s">
        <v>22</v>
      </c>
      <c r="F486" s="3">
        <v>2</v>
      </c>
      <c r="G486" s="4">
        <v>25636</v>
      </c>
      <c r="H486" s="4">
        <v>51272</v>
      </c>
      <c r="I486" s="4">
        <v>38505.32</v>
      </c>
      <c r="J486" s="4">
        <v>12766.68</v>
      </c>
      <c r="K486" t="s">
        <v>15</v>
      </c>
      <c r="L486" s="3">
        <f>(Table1[[#This Row],[Profit]]/Table1[[#This Row],[Sales_Amount]])*100</f>
        <v>24.899906381650805</v>
      </c>
      <c r="M486" s="4" t="str" cm="1">
        <f t="array" ref="M486">_xlfn.IFS(Table1[[#This Row],[Sales_Amount]]&gt;200000,"High",AND(Table1[[#This Row],[Sales_Amount]]&gt;100000,Table1[[#This Row],[Sales_Amount]]&lt;200000),"Medium",Table1[[#This Row],[Sales_Amount]]&lt;100000,"Low")</f>
        <v>Low</v>
      </c>
      <c r="N486" t="str">
        <f>TEXT(Table1[[#This Row],[Order_Date]],"MMMM")</f>
        <v>October</v>
      </c>
      <c r="O486">
        <f>YEAR(Table1[[#This Row],[Order_Date]])</f>
        <v>2026</v>
      </c>
    </row>
    <row r="487" spans="1:15" x14ac:dyDescent="0.3">
      <c r="A487" t="s">
        <v>518</v>
      </c>
      <c r="B487" s="1">
        <v>46306</v>
      </c>
      <c r="C487" t="s">
        <v>40</v>
      </c>
      <c r="D487" t="s">
        <v>21</v>
      </c>
      <c r="E487" t="s">
        <v>32</v>
      </c>
      <c r="F487" s="3">
        <v>5</v>
      </c>
      <c r="G487" s="4">
        <v>30379</v>
      </c>
      <c r="H487" s="4">
        <v>151895</v>
      </c>
      <c r="I487" s="4">
        <v>124303.21</v>
      </c>
      <c r="J487" s="4">
        <v>27591.79</v>
      </c>
      <c r="K487" t="s">
        <v>23</v>
      </c>
      <c r="L487" s="3">
        <f>(Table1[[#This Row],[Profit]]/Table1[[#This Row],[Sales_Amount]])*100</f>
        <v>18.165041640607001</v>
      </c>
      <c r="M487" s="4" t="str" cm="1">
        <f t="array" ref="M487">_xlfn.IFS(Table1[[#This Row],[Sales_Amount]]&gt;200000,"High",AND(Table1[[#This Row],[Sales_Amount]]&gt;100000,Table1[[#This Row],[Sales_Amount]]&lt;200000),"Medium",Table1[[#This Row],[Sales_Amount]]&lt;100000,"Low")</f>
        <v>Medium</v>
      </c>
      <c r="N487" t="str">
        <f>TEXT(Table1[[#This Row],[Order_Date]],"MMMM")</f>
        <v>October</v>
      </c>
      <c r="O487">
        <f>YEAR(Table1[[#This Row],[Order_Date]])</f>
        <v>2026</v>
      </c>
    </row>
    <row r="488" spans="1:15" x14ac:dyDescent="0.3">
      <c r="A488" t="s">
        <v>519</v>
      </c>
      <c r="B488" s="1">
        <v>46307</v>
      </c>
      <c r="C488" t="s">
        <v>28</v>
      </c>
      <c r="D488" t="s">
        <v>18</v>
      </c>
      <c r="E488" t="s">
        <v>37</v>
      </c>
      <c r="F488" s="3">
        <v>6</v>
      </c>
      <c r="G488" s="4">
        <v>49659</v>
      </c>
      <c r="H488" s="4">
        <v>297954</v>
      </c>
      <c r="I488" s="4">
        <v>195615.09</v>
      </c>
      <c r="J488" s="4">
        <v>102338.91</v>
      </c>
      <c r="K488" t="s">
        <v>23</v>
      </c>
      <c r="L488" s="3">
        <f>(Table1[[#This Row],[Profit]]/Table1[[#This Row],[Sales_Amount]])*100</f>
        <v>34.347218026943757</v>
      </c>
      <c r="M488" s="4" t="str" cm="1">
        <f t="array" ref="M488">_xlfn.IFS(Table1[[#This Row],[Sales_Amount]]&gt;200000,"High",AND(Table1[[#This Row],[Sales_Amount]]&gt;100000,Table1[[#This Row],[Sales_Amount]]&lt;200000),"Medium",Table1[[#This Row],[Sales_Amount]]&lt;100000,"Low")</f>
        <v>High</v>
      </c>
      <c r="N488" t="str">
        <f>TEXT(Table1[[#This Row],[Order_Date]],"MMMM")</f>
        <v>October</v>
      </c>
      <c r="O488">
        <f>YEAR(Table1[[#This Row],[Order_Date]])</f>
        <v>2026</v>
      </c>
    </row>
    <row r="489" spans="1:15" x14ac:dyDescent="0.3">
      <c r="A489" t="s">
        <v>520</v>
      </c>
      <c r="B489" s="1">
        <v>46308</v>
      </c>
      <c r="C489" t="s">
        <v>12</v>
      </c>
      <c r="D489" t="s">
        <v>29</v>
      </c>
      <c r="E489" t="s">
        <v>19</v>
      </c>
      <c r="F489" s="3">
        <v>3</v>
      </c>
      <c r="G489" s="4">
        <v>14340</v>
      </c>
      <c r="H489" s="4">
        <v>43020</v>
      </c>
      <c r="I489" s="4">
        <v>35285.99</v>
      </c>
      <c r="J489" s="4">
        <v>7734.01</v>
      </c>
      <c r="K489" t="s">
        <v>26</v>
      </c>
      <c r="L489" s="3">
        <f>(Table1[[#This Row],[Profit]]/Table1[[#This Row],[Sales_Amount]])*100</f>
        <v>17.977708042770804</v>
      </c>
      <c r="M489" s="4" t="str" cm="1">
        <f t="array" ref="M489">_xlfn.IFS(Table1[[#This Row],[Sales_Amount]]&gt;200000,"High",AND(Table1[[#This Row],[Sales_Amount]]&gt;100000,Table1[[#This Row],[Sales_Amount]]&lt;200000),"Medium",Table1[[#This Row],[Sales_Amount]]&lt;100000,"Low")</f>
        <v>Low</v>
      </c>
      <c r="N489" t="str">
        <f>TEXT(Table1[[#This Row],[Order_Date]],"MMMM")</f>
        <v>October</v>
      </c>
      <c r="O489">
        <f>YEAR(Table1[[#This Row],[Order_Date]])</f>
        <v>2026</v>
      </c>
    </row>
    <row r="490" spans="1:15" x14ac:dyDescent="0.3">
      <c r="A490" t="s">
        <v>521</v>
      </c>
      <c r="B490" s="1">
        <v>46309</v>
      </c>
      <c r="C490" t="s">
        <v>17</v>
      </c>
      <c r="D490" t="s">
        <v>18</v>
      </c>
      <c r="E490" t="s">
        <v>14</v>
      </c>
      <c r="F490" s="3">
        <v>7</v>
      </c>
      <c r="G490" s="4">
        <v>42464</v>
      </c>
      <c r="H490" s="4">
        <v>297248</v>
      </c>
      <c r="I490" s="4">
        <v>201158.65</v>
      </c>
      <c r="J490" s="4">
        <v>96089.35</v>
      </c>
      <c r="K490" t="s">
        <v>15</v>
      </c>
      <c r="L490" s="3">
        <f>(Table1[[#This Row],[Profit]]/Table1[[#This Row],[Sales_Amount]])*100</f>
        <v>32.326323474001512</v>
      </c>
      <c r="M490" s="4" t="str" cm="1">
        <f t="array" ref="M490">_xlfn.IFS(Table1[[#This Row],[Sales_Amount]]&gt;200000,"High",AND(Table1[[#This Row],[Sales_Amount]]&gt;100000,Table1[[#This Row],[Sales_Amount]]&lt;200000),"Medium",Table1[[#This Row],[Sales_Amount]]&lt;100000,"Low")</f>
        <v>High</v>
      </c>
      <c r="N490" t="str">
        <f>TEXT(Table1[[#This Row],[Order_Date]],"MMMM")</f>
        <v>October</v>
      </c>
      <c r="O490">
        <f>YEAR(Table1[[#This Row],[Order_Date]])</f>
        <v>2026</v>
      </c>
    </row>
    <row r="491" spans="1:15" x14ac:dyDescent="0.3">
      <c r="A491" t="s">
        <v>522</v>
      </c>
      <c r="B491" s="1">
        <v>46310</v>
      </c>
      <c r="C491" t="s">
        <v>28</v>
      </c>
      <c r="D491" t="s">
        <v>21</v>
      </c>
      <c r="E491" t="s">
        <v>14</v>
      </c>
      <c r="F491" s="3">
        <v>1</v>
      </c>
      <c r="G491" s="4">
        <v>45703</v>
      </c>
      <c r="H491" s="4">
        <v>45703</v>
      </c>
      <c r="I491" s="4">
        <v>29009.38</v>
      </c>
      <c r="J491" s="4">
        <v>16693.62</v>
      </c>
      <c r="K491" t="s">
        <v>15</v>
      </c>
      <c r="L491" s="3">
        <f>(Table1[[#This Row],[Profit]]/Table1[[#This Row],[Sales_Amount]])*100</f>
        <v>36.526311183073318</v>
      </c>
      <c r="M491" s="4" t="str" cm="1">
        <f t="array" ref="M491">_xlfn.IFS(Table1[[#This Row],[Sales_Amount]]&gt;200000,"High",AND(Table1[[#This Row],[Sales_Amount]]&gt;100000,Table1[[#This Row],[Sales_Amount]]&lt;200000),"Medium",Table1[[#This Row],[Sales_Amount]]&lt;100000,"Low")</f>
        <v>Low</v>
      </c>
      <c r="N491" t="str">
        <f>TEXT(Table1[[#This Row],[Order_Date]],"MMMM")</f>
        <v>October</v>
      </c>
      <c r="O491">
        <f>YEAR(Table1[[#This Row],[Order_Date]])</f>
        <v>2026</v>
      </c>
    </row>
    <row r="492" spans="1:15" x14ac:dyDescent="0.3">
      <c r="A492" t="s">
        <v>523</v>
      </c>
      <c r="B492" s="1">
        <v>46311</v>
      </c>
      <c r="C492" t="s">
        <v>17</v>
      </c>
      <c r="D492" t="s">
        <v>44</v>
      </c>
      <c r="E492" t="s">
        <v>32</v>
      </c>
      <c r="F492" s="3">
        <v>8</v>
      </c>
      <c r="G492" s="4">
        <v>46497</v>
      </c>
      <c r="H492" s="4">
        <v>371976</v>
      </c>
      <c r="I492" s="4">
        <v>240273.48</v>
      </c>
      <c r="J492" s="4">
        <v>131702.51999999999</v>
      </c>
      <c r="K492" t="s">
        <v>58</v>
      </c>
      <c r="L492" s="3">
        <f>(Table1[[#This Row],[Profit]]/Table1[[#This Row],[Sales_Amount]])*100</f>
        <v>35.40618749596748</v>
      </c>
      <c r="M492" s="4" t="str" cm="1">
        <f t="array" ref="M492">_xlfn.IFS(Table1[[#This Row],[Sales_Amount]]&gt;200000,"High",AND(Table1[[#This Row],[Sales_Amount]]&gt;100000,Table1[[#This Row],[Sales_Amount]]&lt;200000),"Medium",Table1[[#This Row],[Sales_Amount]]&lt;100000,"Low")</f>
        <v>High</v>
      </c>
      <c r="N492" t="str">
        <f>TEXT(Table1[[#This Row],[Order_Date]],"MMMM")</f>
        <v>October</v>
      </c>
      <c r="O492">
        <f>YEAR(Table1[[#This Row],[Order_Date]])</f>
        <v>2026</v>
      </c>
    </row>
    <row r="493" spans="1:15" x14ac:dyDescent="0.3">
      <c r="A493" t="s">
        <v>524</v>
      </c>
      <c r="B493" s="1">
        <v>46312</v>
      </c>
      <c r="C493" t="s">
        <v>12</v>
      </c>
      <c r="D493" t="s">
        <v>21</v>
      </c>
      <c r="E493" t="s">
        <v>14</v>
      </c>
      <c r="F493" s="3">
        <v>9</v>
      </c>
      <c r="G493" s="4">
        <v>18193</v>
      </c>
      <c r="H493" s="4">
        <v>163737</v>
      </c>
      <c r="I493" s="4">
        <v>128834.71</v>
      </c>
      <c r="J493" s="4">
        <v>34902.29</v>
      </c>
      <c r="K493" t="s">
        <v>15</v>
      </c>
      <c r="L493" s="3">
        <f>(Table1[[#This Row],[Profit]]/Table1[[#This Row],[Sales_Amount]])*100</f>
        <v>21.316067840500317</v>
      </c>
      <c r="M493" s="4" t="str" cm="1">
        <f t="array" ref="M493">_xlfn.IFS(Table1[[#This Row],[Sales_Amount]]&gt;200000,"High",AND(Table1[[#This Row],[Sales_Amount]]&gt;100000,Table1[[#This Row],[Sales_Amount]]&lt;200000),"Medium",Table1[[#This Row],[Sales_Amount]]&lt;100000,"Low")</f>
        <v>Medium</v>
      </c>
      <c r="N493" t="str">
        <f>TEXT(Table1[[#This Row],[Order_Date]],"MMMM")</f>
        <v>October</v>
      </c>
      <c r="O493">
        <f>YEAR(Table1[[#This Row],[Order_Date]])</f>
        <v>2026</v>
      </c>
    </row>
    <row r="494" spans="1:15" x14ac:dyDescent="0.3">
      <c r="A494" t="s">
        <v>525</v>
      </c>
      <c r="B494" s="1">
        <v>46313</v>
      </c>
      <c r="C494" t="s">
        <v>17</v>
      </c>
      <c r="D494" t="s">
        <v>56</v>
      </c>
      <c r="E494" t="s">
        <v>19</v>
      </c>
      <c r="F494" s="3">
        <v>10</v>
      </c>
      <c r="G494" s="4">
        <v>8215</v>
      </c>
      <c r="H494" s="4">
        <v>82150</v>
      </c>
      <c r="I494" s="4">
        <v>56257.31</v>
      </c>
      <c r="J494" s="4">
        <v>25892.69</v>
      </c>
      <c r="K494" t="s">
        <v>23</v>
      </c>
      <c r="L494" s="3">
        <f>(Table1[[#This Row],[Profit]]/Table1[[#This Row],[Sales_Amount]])*100</f>
        <v>31.518794887401093</v>
      </c>
      <c r="M494" s="4" t="str" cm="1">
        <f t="array" ref="M494">_xlfn.IFS(Table1[[#This Row],[Sales_Amount]]&gt;200000,"High",AND(Table1[[#This Row],[Sales_Amount]]&gt;100000,Table1[[#This Row],[Sales_Amount]]&lt;200000),"Medium",Table1[[#This Row],[Sales_Amount]]&lt;100000,"Low")</f>
        <v>Low</v>
      </c>
      <c r="N494" t="str">
        <f>TEXT(Table1[[#This Row],[Order_Date]],"MMMM")</f>
        <v>October</v>
      </c>
      <c r="O494">
        <f>YEAR(Table1[[#This Row],[Order_Date]])</f>
        <v>2026</v>
      </c>
    </row>
    <row r="495" spans="1:15" x14ac:dyDescent="0.3">
      <c r="A495" t="s">
        <v>526</v>
      </c>
      <c r="B495" s="1">
        <v>46314</v>
      </c>
      <c r="C495" t="s">
        <v>40</v>
      </c>
      <c r="D495" t="s">
        <v>21</v>
      </c>
      <c r="E495" t="s">
        <v>22</v>
      </c>
      <c r="F495" s="3">
        <v>5</v>
      </c>
      <c r="G495" s="4">
        <v>34784</v>
      </c>
      <c r="H495" s="4">
        <v>173920</v>
      </c>
      <c r="I495" s="4">
        <v>155125.49</v>
      </c>
      <c r="J495" s="4">
        <v>18794.509999999998</v>
      </c>
      <c r="K495" t="s">
        <v>26</v>
      </c>
      <c r="L495" s="3">
        <f>(Table1[[#This Row],[Profit]]/Table1[[#This Row],[Sales_Amount]])*100</f>
        <v>10.806410993560258</v>
      </c>
      <c r="M495" s="4" t="str" cm="1">
        <f t="array" ref="M495">_xlfn.IFS(Table1[[#This Row],[Sales_Amount]]&gt;200000,"High",AND(Table1[[#This Row],[Sales_Amount]]&gt;100000,Table1[[#This Row],[Sales_Amount]]&lt;200000),"Medium",Table1[[#This Row],[Sales_Amount]]&lt;100000,"Low")</f>
        <v>Medium</v>
      </c>
      <c r="N495" t="str">
        <f>TEXT(Table1[[#This Row],[Order_Date]],"MMMM")</f>
        <v>October</v>
      </c>
      <c r="O495">
        <f>YEAR(Table1[[#This Row],[Order_Date]])</f>
        <v>2026</v>
      </c>
    </row>
    <row r="496" spans="1:15" x14ac:dyDescent="0.3">
      <c r="A496" t="s">
        <v>527</v>
      </c>
      <c r="B496" s="1">
        <v>46315</v>
      </c>
      <c r="C496" t="s">
        <v>28</v>
      </c>
      <c r="D496" t="s">
        <v>34</v>
      </c>
      <c r="E496" t="s">
        <v>14</v>
      </c>
      <c r="F496" s="3">
        <v>9</v>
      </c>
      <c r="G496" s="4">
        <v>33029</v>
      </c>
      <c r="H496" s="4">
        <v>297261</v>
      </c>
      <c r="I496" s="4">
        <v>259540.66</v>
      </c>
      <c r="J496" s="4">
        <v>37720.339999999997</v>
      </c>
      <c r="K496" t="s">
        <v>23</v>
      </c>
      <c r="L496" s="3">
        <f>(Table1[[#This Row],[Profit]]/Table1[[#This Row],[Sales_Amount]])*100</f>
        <v>12.689299975442456</v>
      </c>
      <c r="M496" s="4" t="str" cm="1">
        <f t="array" ref="M496">_xlfn.IFS(Table1[[#This Row],[Sales_Amount]]&gt;200000,"High",AND(Table1[[#This Row],[Sales_Amount]]&gt;100000,Table1[[#This Row],[Sales_Amount]]&lt;200000),"Medium",Table1[[#This Row],[Sales_Amount]]&lt;100000,"Low")</f>
        <v>High</v>
      </c>
      <c r="N496" t="str">
        <f>TEXT(Table1[[#This Row],[Order_Date]],"MMMM")</f>
        <v>October</v>
      </c>
      <c r="O496">
        <f>YEAR(Table1[[#This Row],[Order_Date]])</f>
        <v>2026</v>
      </c>
    </row>
    <row r="497" spans="1:15" x14ac:dyDescent="0.3">
      <c r="A497" t="s">
        <v>528</v>
      </c>
      <c r="B497" s="1">
        <v>46316</v>
      </c>
      <c r="C497" t="s">
        <v>28</v>
      </c>
      <c r="D497" t="s">
        <v>13</v>
      </c>
      <c r="E497" t="s">
        <v>14</v>
      </c>
      <c r="F497" s="3">
        <v>2</v>
      </c>
      <c r="G497" s="4">
        <v>7737</v>
      </c>
      <c r="H497" s="4">
        <v>15474</v>
      </c>
      <c r="I497" s="4">
        <v>13161.71</v>
      </c>
      <c r="J497" s="4">
        <v>2312.29</v>
      </c>
      <c r="K497" t="s">
        <v>15</v>
      </c>
      <c r="L497" s="3">
        <f>(Table1[[#This Row],[Profit]]/Table1[[#This Row],[Sales_Amount]])*100</f>
        <v>14.943065787773039</v>
      </c>
      <c r="M497" s="4" t="str" cm="1">
        <f t="array" ref="M497">_xlfn.IFS(Table1[[#This Row],[Sales_Amount]]&gt;200000,"High",AND(Table1[[#This Row],[Sales_Amount]]&gt;100000,Table1[[#This Row],[Sales_Amount]]&lt;200000),"Medium",Table1[[#This Row],[Sales_Amount]]&lt;100000,"Low")</f>
        <v>Low</v>
      </c>
      <c r="N497" t="str">
        <f>TEXT(Table1[[#This Row],[Order_Date]],"MMMM")</f>
        <v>October</v>
      </c>
      <c r="O497">
        <f>YEAR(Table1[[#This Row],[Order_Date]])</f>
        <v>2026</v>
      </c>
    </row>
    <row r="498" spans="1:15" x14ac:dyDescent="0.3">
      <c r="A498" t="s">
        <v>529</v>
      </c>
      <c r="B498" s="1">
        <v>46317</v>
      </c>
      <c r="C498" t="s">
        <v>28</v>
      </c>
      <c r="D498" t="s">
        <v>44</v>
      </c>
      <c r="E498" t="s">
        <v>14</v>
      </c>
      <c r="F498" s="3">
        <v>2</v>
      </c>
      <c r="G498" s="4">
        <v>17270</v>
      </c>
      <c r="H498" s="4">
        <v>34540</v>
      </c>
      <c r="I498" s="4">
        <v>27400.62</v>
      </c>
      <c r="J498" s="4">
        <v>7139.38</v>
      </c>
      <c r="K498" t="s">
        <v>26</v>
      </c>
      <c r="L498" s="3">
        <f>(Table1[[#This Row],[Profit]]/Table1[[#This Row],[Sales_Amount]])*100</f>
        <v>20.669889982628835</v>
      </c>
      <c r="M498" s="4" t="str" cm="1">
        <f t="array" ref="M498">_xlfn.IFS(Table1[[#This Row],[Sales_Amount]]&gt;200000,"High",AND(Table1[[#This Row],[Sales_Amount]]&gt;100000,Table1[[#This Row],[Sales_Amount]]&lt;200000),"Medium",Table1[[#This Row],[Sales_Amount]]&lt;100000,"Low")</f>
        <v>Low</v>
      </c>
      <c r="N498" t="str">
        <f>TEXT(Table1[[#This Row],[Order_Date]],"MMMM")</f>
        <v>October</v>
      </c>
      <c r="O498">
        <f>YEAR(Table1[[#This Row],[Order_Date]])</f>
        <v>2026</v>
      </c>
    </row>
    <row r="499" spans="1:15" x14ac:dyDescent="0.3">
      <c r="A499" t="s">
        <v>530</v>
      </c>
      <c r="B499" s="1">
        <v>46318</v>
      </c>
      <c r="C499" t="s">
        <v>40</v>
      </c>
      <c r="D499" t="s">
        <v>34</v>
      </c>
      <c r="E499" t="s">
        <v>14</v>
      </c>
      <c r="F499" s="3">
        <v>2</v>
      </c>
      <c r="G499" s="4">
        <v>11949</v>
      </c>
      <c r="H499" s="4">
        <v>23898</v>
      </c>
      <c r="I499" s="4">
        <v>20605.86</v>
      </c>
      <c r="J499" s="4">
        <v>3292.14</v>
      </c>
      <c r="K499" t="s">
        <v>26</v>
      </c>
      <c r="L499" s="3">
        <f>(Table1[[#This Row],[Profit]]/Table1[[#This Row],[Sales_Amount]])*100</f>
        <v>13.775797137835802</v>
      </c>
      <c r="M499" s="4" t="str" cm="1">
        <f t="array" ref="M499">_xlfn.IFS(Table1[[#This Row],[Sales_Amount]]&gt;200000,"High",AND(Table1[[#This Row],[Sales_Amount]]&gt;100000,Table1[[#This Row],[Sales_Amount]]&lt;200000),"Medium",Table1[[#This Row],[Sales_Amount]]&lt;100000,"Low")</f>
        <v>Low</v>
      </c>
      <c r="N499" t="str">
        <f>TEXT(Table1[[#This Row],[Order_Date]],"MMMM")</f>
        <v>October</v>
      </c>
      <c r="O499">
        <f>YEAR(Table1[[#This Row],[Order_Date]])</f>
        <v>2026</v>
      </c>
    </row>
    <row r="500" spans="1:15" x14ac:dyDescent="0.3">
      <c r="A500" t="s">
        <v>531</v>
      </c>
      <c r="B500" s="1">
        <v>46319</v>
      </c>
      <c r="C500" t="s">
        <v>17</v>
      </c>
      <c r="D500" t="s">
        <v>18</v>
      </c>
      <c r="E500" t="s">
        <v>19</v>
      </c>
      <c r="F500" s="3">
        <v>2</v>
      </c>
      <c r="G500" s="4">
        <v>6725</v>
      </c>
      <c r="H500" s="4">
        <v>13450</v>
      </c>
      <c r="I500" s="4">
        <v>11504.78</v>
      </c>
      <c r="J500" s="4">
        <v>1945.22</v>
      </c>
      <c r="K500" t="s">
        <v>23</v>
      </c>
      <c r="L500" s="3">
        <f>(Table1[[#This Row],[Profit]]/Table1[[#This Row],[Sales_Amount]])*100</f>
        <v>14.46260223048327</v>
      </c>
      <c r="M500" s="4" t="str" cm="1">
        <f t="array" ref="M500">_xlfn.IFS(Table1[[#This Row],[Sales_Amount]]&gt;200000,"High",AND(Table1[[#This Row],[Sales_Amount]]&gt;100000,Table1[[#This Row],[Sales_Amount]]&lt;200000),"Medium",Table1[[#This Row],[Sales_Amount]]&lt;100000,"Low")</f>
        <v>Low</v>
      </c>
      <c r="N500" t="str">
        <f>TEXT(Table1[[#This Row],[Order_Date]],"MMMM")</f>
        <v>October</v>
      </c>
      <c r="O500">
        <f>YEAR(Table1[[#This Row],[Order_Date]])</f>
        <v>2026</v>
      </c>
    </row>
    <row r="501" spans="1:15" x14ac:dyDescent="0.3">
      <c r="A501" t="s">
        <v>532</v>
      </c>
      <c r="B501" s="1">
        <v>46320</v>
      </c>
      <c r="C501" t="s">
        <v>28</v>
      </c>
      <c r="D501" t="s">
        <v>44</v>
      </c>
      <c r="E501" t="s">
        <v>19</v>
      </c>
      <c r="F501" s="3">
        <v>3</v>
      </c>
      <c r="G501" s="4">
        <v>22039</v>
      </c>
      <c r="H501" s="4">
        <v>66117</v>
      </c>
      <c r="I501" s="4">
        <v>46761.79</v>
      </c>
      <c r="J501" s="4">
        <v>19355.21</v>
      </c>
      <c r="K501" t="s">
        <v>15</v>
      </c>
      <c r="L501" s="3">
        <f>(Table1[[#This Row],[Profit]]/Table1[[#This Row],[Sales_Amount]])*100</f>
        <v>29.274180619205346</v>
      </c>
      <c r="M501" s="4" t="str" cm="1">
        <f t="array" ref="M501">_xlfn.IFS(Table1[[#This Row],[Sales_Amount]]&gt;200000,"High",AND(Table1[[#This Row],[Sales_Amount]]&gt;100000,Table1[[#This Row],[Sales_Amount]]&lt;200000),"Medium",Table1[[#This Row],[Sales_Amount]]&lt;100000,"Low")</f>
        <v>Low</v>
      </c>
      <c r="N501" t="str">
        <f>TEXT(Table1[[#This Row],[Order_Date]],"MMMM")</f>
        <v>October</v>
      </c>
      <c r="O501">
        <f>YEAR(Table1[[#This Row],[Order_Date]])</f>
        <v>2026</v>
      </c>
    </row>
    <row r="502" spans="1:15" x14ac:dyDescent="0.3">
      <c r="A502" t="s">
        <v>533</v>
      </c>
      <c r="B502" s="1">
        <v>46321</v>
      </c>
      <c r="C502" t="s">
        <v>28</v>
      </c>
      <c r="D502" t="s">
        <v>44</v>
      </c>
      <c r="E502" t="s">
        <v>32</v>
      </c>
      <c r="F502" s="3">
        <v>3</v>
      </c>
      <c r="G502" s="4">
        <v>7960</v>
      </c>
      <c r="H502" s="4">
        <v>23880</v>
      </c>
      <c r="I502" s="4">
        <v>17199.169999999998</v>
      </c>
      <c r="J502" s="4">
        <v>6680.83</v>
      </c>
      <c r="K502" t="s">
        <v>58</v>
      </c>
      <c r="L502" s="3">
        <f>(Table1[[#This Row],[Profit]]/Table1[[#This Row],[Sales_Amount]])*100</f>
        <v>27.976675041876049</v>
      </c>
      <c r="M502" s="4" t="str" cm="1">
        <f t="array" ref="M502">_xlfn.IFS(Table1[[#This Row],[Sales_Amount]]&gt;200000,"High",AND(Table1[[#This Row],[Sales_Amount]]&gt;100000,Table1[[#This Row],[Sales_Amount]]&lt;200000),"Medium",Table1[[#This Row],[Sales_Amount]]&lt;100000,"Low")</f>
        <v>Low</v>
      </c>
      <c r="N502" t="str">
        <f>TEXT(Table1[[#This Row],[Order_Date]],"MMMM")</f>
        <v>October</v>
      </c>
      <c r="O502">
        <f>YEAR(Table1[[#This Row],[Order_Date]])</f>
        <v>2026</v>
      </c>
    </row>
    <row r="503" spans="1:15" x14ac:dyDescent="0.3">
      <c r="A503" t="s">
        <v>534</v>
      </c>
      <c r="B503" s="1">
        <v>46322</v>
      </c>
      <c r="C503" t="s">
        <v>12</v>
      </c>
      <c r="D503" t="s">
        <v>29</v>
      </c>
      <c r="E503" t="s">
        <v>37</v>
      </c>
      <c r="F503" s="3">
        <v>7</v>
      </c>
      <c r="G503" s="4">
        <v>43022</v>
      </c>
      <c r="H503" s="4">
        <v>301154</v>
      </c>
      <c r="I503" s="4">
        <v>260750.33</v>
      </c>
      <c r="J503" s="4">
        <v>40403.67</v>
      </c>
      <c r="K503" t="s">
        <v>23</v>
      </c>
      <c r="L503" s="3">
        <f>(Table1[[#This Row],[Profit]]/Table1[[#This Row],[Sales_Amount]])*100</f>
        <v>13.416282035104961</v>
      </c>
      <c r="M503" s="4" t="str" cm="1">
        <f t="array" ref="M503">_xlfn.IFS(Table1[[#This Row],[Sales_Amount]]&gt;200000,"High",AND(Table1[[#This Row],[Sales_Amount]]&gt;100000,Table1[[#This Row],[Sales_Amount]]&lt;200000),"Medium",Table1[[#This Row],[Sales_Amount]]&lt;100000,"Low")</f>
        <v>High</v>
      </c>
      <c r="N503" t="str">
        <f>TEXT(Table1[[#This Row],[Order_Date]],"MMMM")</f>
        <v>October</v>
      </c>
      <c r="O503">
        <f>YEAR(Table1[[#This Row],[Order_Date]])</f>
        <v>2026</v>
      </c>
    </row>
    <row r="504" spans="1:15" x14ac:dyDescent="0.3">
      <c r="A504" t="s">
        <v>535</v>
      </c>
      <c r="B504" s="1">
        <v>46323</v>
      </c>
      <c r="C504" t="s">
        <v>28</v>
      </c>
      <c r="D504" t="s">
        <v>56</v>
      </c>
      <c r="E504" t="s">
        <v>19</v>
      </c>
      <c r="F504" s="3">
        <v>1</v>
      </c>
      <c r="G504" s="4">
        <v>10946</v>
      </c>
      <c r="H504" s="4">
        <v>10946</v>
      </c>
      <c r="I504" s="4">
        <v>6908.17</v>
      </c>
      <c r="J504" s="4">
        <v>4037.83</v>
      </c>
      <c r="K504" t="s">
        <v>23</v>
      </c>
      <c r="L504" s="3">
        <f>(Table1[[#This Row],[Profit]]/Table1[[#This Row],[Sales_Amount]])*100</f>
        <v>36.888635117851273</v>
      </c>
      <c r="M504" s="4" t="str" cm="1">
        <f t="array" ref="M504">_xlfn.IFS(Table1[[#This Row],[Sales_Amount]]&gt;200000,"High",AND(Table1[[#This Row],[Sales_Amount]]&gt;100000,Table1[[#This Row],[Sales_Amount]]&lt;200000),"Medium",Table1[[#This Row],[Sales_Amount]]&lt;100000,"Low")</f>
        <v>Low</v>
      </c>
      <c r="N504" t="str">
        <f>TEXT(Table1[[#This Row],[Order_Date]],"MMMM")</f>
        <v>October</v>
      </c>
      <c r="O504">
        <f>YEAR(Table1[[#This Row],[Order_Date]])</f>
        <v>2026</v>
      </c>
    </row>
    <row r="505" spans="1:15" x14ac:dyDescent="0.3">
      <c r="A505" t="s">
        <v>536</v>
      </c>
      <c r="B505" s="1">
        <v>46324</v>
      </c>
      <c r="C505" t="s">
        <v>12</v>
      </c>
      <c r="D505" t="s">
        <v>56</v>
      </c>
      <c r="E505" t="s">
        <v>37</v>
      </c>
      <c r="F505" s="3">
        <v>6</v>
      </c>
      <c r="G505" s="4">
        <v>40565</v>
      </c>
      <c r="H505" s="4">
        <v>243390</v>
      </c>
      <c r="I505" s="4">
        <v>148138.07</v>
      </c>
      <c r="J505" s="4">
        <v>95251.93</v>
      </c>
      <c r="K505" t="s">
        <v>58</v>
      </c>
      <c r="L505" s="3">
        <f>(Table1[[#This Row],[Profit]]/Table1[[#This Row],[Sales_Amount]])*100</f>
        <v>39.135515017050821</v>
      </c>
      <c r="M505" s="4" t="str" cm="1">
        <f t="array" ref="M505">_xlfn.IFS(Table1[[#This Row],[Sales_Amount]]&gt;200000,"High",AND(Table1[[#This Row],[Sales_Amount]]&gt;100000,Table1[[#This Row],[Sales_Amount]]&lt;200000),"Medium",Table1[[#This Row],[Sales_Amount]]&lt;100000,"Low")</f>
        <v>High</v>
      </c>
      <c r="N505" t="str">
        <f>TEXT(Table1[[#This Row],[Order_Date]],"MMMM")</f>
        <v>October</v>
      </c>
      <c r="O505">
        <f>YEAR(Table1[[#This Row],[Order_Date]])</f>
        <v>2026</v>
      </c>
    </row>
    <row r="506" spans="1:15" x14ac:dyDescent="0.3">
      <c r="A506" t="s">
        <v>537</v>
      </c>
      <c r="B506" s="1">
        <v>46325</v>
      </c>
      <c r="C506" t="s">
        <v>40</v>
      </c>
      <c r="D506" t="s">
        <v>18</v>
      </c>
      <c r="E506" t="s">
        <v>37</v>
      </c>
      <c r="F506" s="3">
        <v>8</v>
      </c>
      <c r="G506" s="4">
        <v>3512</v>
      </c>
      <c r="H506" s="4">
        <v>28096</v>
      </c>
      <c r="I506" s="4">
        <v>17391.45</v>
      </c>
      <c r="J506" s="4">
        <v>10704.55</v>
      </c>
      <c r="K506" t="s">
        <v>23</v>
      </c>
      <c r="L506" s="3">
        <f>(Table1[[#This Row],[Profit]]/Table1[[#This Row],[Sales_Amount]])*100</f>
        <v>38.09990746013667</v>
      </c>
      <c r="M506" s="4" t="str" cm="1">
        <f t="array" ref="M506">_xlfn.IFS(Table1[[#This Row],[Sales_Amount]]&gt;200000,"High",AND(Table1[[#This Row],[Sales_Amount]]&gt;100000,Table1[[#This Row],[Sales_Amount]]&lt;200000),"Medium",Table1[[#This Row],[Sales_Amount]]&lt;100000,"Low")</f>
        <v>Low</v>
      </c>
      <c r="N506" t="str">
        <f>TEXT(Table1[[#This Row],[Order_Date]],"MMMM")</f>
        <v>October</v>
      </c>
      <c r="O506">
        <f>YEAR(Table1[[#This Row],[Order_Date]])</f>
        <v>2026</v>
      </c>
    </row>
    <row r="507" spans="1:15" x14ac:dyDescent="0.3">
      <c r="A507" t="s">
        <v>538</v>
      </c>
      <c r="B507" s="1">
        <v>46326</v>
      </c>
      <c r="C507" t="s">
        <v>17</v>
      </c>
      <c r="D507" t="s">
        <v>21</v>
      </c>
      <c r="E507" t="s">
        <v>32</v>
      </c>
      <c r="F507" s="3">
        <v>9</v>
      </c>
      <c r="G507" s="4">
        <v>34782</v>
      </c>
      <c r="H507" s="4">
        <v>313038</v>
      </c>
      <c r="I507" s="4">
        <v>252456.54</v>
      </c>
      <c r="J507" s="4">
        <v>60581.46</v>
      </c>
      <c r="K507" t="s">
        <v>23</v>
      </c>
      <c r="L507" s="3">
        <f>(Table1[[#This Row],[Profit]]/Table1[[#This Row],[Sales_Amount]])*100</f>
        <v>19.352749506449697</v>
      </c>
      <c r="M507" s="4" t="str" cm="1">
        <f t="array" ref="M507">_xlfn.IFS(Table1[[#This Row],[Sales_Amount]]&gt;200000,"High",AND(Table1[[#This Row],[Sales_Amount]]&gt;100000,Table1[[#This Row],[Sales_Amount]]&lt;200000),"Medium",Table1[[#This Row],[Sales_Amount]]&lt;100000,"Low")</f>
        <v>High</v>
      </c>
      <c r="N507" t="str">
        <f>TEXT(Table1[[#This Row],[Order_Date]],"MMMM")</f>
        <v>October</v>
      </c>
      <c r="O507">
        <f>YEAR(Table1[[#This Row],[Order_Date]])</f>
        <v>2026</v>
      </c>
    </row>
    <row r="508" spans="1:15" x14ac:dyDescent="0.3">
      <c r="A508" t="s">
        <v>539</v>
      </c>
      <c r="B508" s="1">
        <v>46327</v>
      </c>
      <c r="C508" t="s">
        <v>17</v>
      </c>
      <c r="D508" t="s">
        <v>18</v>
      </c>
      <c r="E508" t="s">
        <v>32</v>
      </c>
      <c r="F508" s="3">
        <v>7</v>
      </c>
      <c r="G508" s="4">
        <v>10242</v>
      </c>
      <c r="H508" s="4">
        <v>71694</v>
      </c>
      <c r="I508" s="4">
        <v>61062.49</v>
      </c>
      <c r="J508" s="4">
        <v>10631.51</v>
      </c>
      <c r="K508" t="s">
        <v>23</v>
      </c>
      <c r="L508" s="3">
        <f>(Table1[[#This Row],[Profit]]/Table1[[#This Row],[Sales_Amount]])*100</f>
        <v>14.82900940106564</v>
      </c>
      <c r="M508" s="4" t="str" cm="1">
        <f t="array" ref="M508">_xlfn.IFS(Table1[[#This Row],[Sales_Amount]]&gt;200000,"High",AND(Table1[[#This Row],[Sales_Amount]]&gt;100000,Table1[[#This Row],[Sales_Amount]]&lt;200000),"Medium",Table1[[#This Row],[Sales_Amount]]&lt;100000,"Low")</f>
        <v>Low</v>
      </c>
      <c r="N508" t="str">
        <f>TEXT(Table1[[#This Row],[Order_Date]],"MMMM")</f>
        <v>November</v>
      </c>
      <c r="O508">
        <f>YEAR(Table1[[#This Row],[Order_Date]])</f>
        <v>2026</v>
      </c>
    </row>
    <row r="509" spans="1:15" x14ac:dyDescent="0.3">
      <c r="A509" t="s">
        <v>540</v>
      </c>
      <c r="B509" s="1">
        <v>46328</v>
      </c>
      <c r="C509" t="s">
        <v>28</v>
      </c>
      <c r="D509" t="s">
        <v>34</v>
      </c>
      <c r="E509" t="s">
        <v>37</v>
      </c>
      <c r="F509" s="3">
        <v>8</v>
      </c>
      <c r="G509" s="4">
        <v>11339</v>
      </c>
      <c r="H509" s="4">
        <v>90712</v>
      </c>
      <c r="I509" s="4">
        <v>56464.55</v>
      </c>
      <c r="J509" s="4">
        <v>34247.449999999997</v>
      </c>
      <c r="K509" t="s">
        <v>23</v>
      </c>
      <c r="L509" s="3">
        <f>(Table1[[#This Row],[Profit]]/Table1[[#This Row],[Sales_Amount]])*100</f>
        <v>37.754045771232029</v>
      </c>
      <c r="M509" s="4" t="str" cm="1">
        <f t="array" ref="M509">_xlfn.IFS(Table1[[#This Row],[Sales_Amount]]&gt;200000,"High",AND(Table1[[#This Row],[Sales_Amount]]&gt;100000,Table1[[#This Row],[Sales_Amount]]&lt;200000),"Medium",Table1[[#This Row],[Sales_Amount]]&lt;100000,"Low")</f>
        <v>Low</v>
      </c>
      <c r="N509" t="str">
        <f>TEXT(Table1[[#This Row],[Order_Date]],"MMMM")</f>
        <v>November</v>
      </c>
      <c r="O509">
        <f>YEAR(Table1[[#This Row],[Order_Date]])</f>
        <v>2026</v>
      </c>
    </row>
    <row r="510" spans="1:15" x14ac:dyDescent="0.3">
      <c r="A510" t="s">
        <v>541</v>
      </c>
      <c r="B510" s="1">
        <v>46329</v>
      </c>
      <c r="C510" t="s">
        <v>28</v>
      </c>
      <c r="D510" t="s">
        <v>21</v>
      </c>
      <c r="E510" t="s">
        <v>32</v>
      </c>
      <c r="F510" s="3">
        <v>1</v>
      </c>
      <c r="G510" s="4">
        <v>33722</v>
      </c>
      <c r="H510" s="4">
        <v>33722</v>
      </c>
      <c r="I510" s="4">
        <v>22486.23</v>
      </c>
      <c r="J510" s="4">
        <v>11235.77</v>
      </c>
      <c r="K510" t="s">
        <v>23</v>
      </c>
      <c r="L510" s="3">
        <f>(Table1[[#This Row],[Profit]]/Table1[[#This Row],[Sales_Amount]])*100</f>
        <v>33.318812644564382</v>
      </c>
      <c r="M510" s="4" t="str" cm="1">
        <f t="array" ref="M510">_xlfn.IFS(Table1[[#This Row],[Sales_Amount]]&gt;200000,"High",AND(Table1[[#This Row],[Sales_Amount]]&gt;100000,Table1[[#This Row],[Sales_Amount]]&lt;200000),"Medium",Table1[[#This Row],[Sales_Amount]]&lt;100000,"Low")</f>
        <v>Low</v>
      </c>
      <c r="N510" t="str">
        <f>TEXT(Table1[[#This Row],[Order_Date]],"MMMM")</f>
        <v>November</v>
      </c>
      <c r="O510">
        <f>YEAR(Table1[[#This Row],[Order_Date]])</f>
        <v>2026</v>
      </c>
    </row>
    <row r="511" spans="1:15" x14ac:dyDescent="0.3">
      <c r="A511" t="s">
        <v>542</v>
      </c>
      <c r="B511" s="1">
        <v>46330</v>
      </c>
      <c r="C511" t="s">
        <v>28</v>
      </c>
      <c r="D511" t="s">
        <v>56</v>
      </c>
      <c r="E511" t="s">
        <v>37</v>
      </c>
      <c r="F511" s="3">
        <v>8</v>
      </c>
      <c r="G511" s="4">
        <v>38054</v>
      </c>
      <c r="H511" s="4">
        <v>304432</v>
      </c>
      <c r="I511" s="4">
        <v>223583.86</v>
      </c>
      <c r="J511" s="4">
        <v>80848.14</v>
      </c>
      <c r="K511" t="s">
        <v>26</v>
      </c>
      <c r="L511" s="3">
        <f>(Table1[[#This Row],[Profit]]/Table1[[#This Row],[Sales_Amount]])*100</f>
        <v>26.557043937562412</v>
      </c>
      <c r="M511" s="4" t="str" cm="1">
        <f t="array" ref="M511">_xlfn.IFS(Table1[[#This Row],[Sales_Amount]]&gt;200000,"High",AND(Table1[[#This Row],[Sales_Amount]]&gt;100000,Table1[[#This Row],[Sales_Amount]]&lt;200000),"Medium",Table1[[#This Row],[Sales_Amount]]&lt;100000,"Low")</f>
        <v>High</v>
      </c>
      <c r="N511" t="str">
        <f>TEXT(Table1[[#This Row],[Order_Date]],"MMMM")</f>
        <v>November</v>
      </c>
      <c r="O511">
        <f>YEAR(Table1[[#This Row],[Order_Date]])</f>
        <v>2026</v>
      </c>
    </row>
    <row r="512" spans="1:15" x14ac:dyDescent="0.3">
      <c r="A512" t="s">
        <v>543</v>
      </c>
      <c r="B512" s="1">
        <v>46331</v>
      </c>
      <c r="C512" t="s">
        <v>17</v>
      </c>
      <c r="D512" t="s">
        <v>18</v>
      </c>
      <c r="E512" t="s">
        <v>37</v>
      </c>
      <c r="F512" s="3">
        <v>1</v>
      </c>
      <c r="G512" s="4">
        <v>7226</v>
      </c>
      <c r="H512" s="4">
        <v>7226</v>
      </c>
      <c r="I512" s="4">
        <v>5210.18</v>
      </c>
      <c r="J512" s="4">
        <v>2015.82</v>
      </c>
      <c r="K512" t="s">
        <v>15</v>
      </c>
      <c r="L512" s="3">
        <f>(Table1[[#This Row],[Profit]]/Table1[[#This Row],[Sales_Amount]])*100</f>
        <v>27.896761693883199</v>
      </c>
      <c r="M512" s="4" t="str" cm="1">
        <f t="array" ref="M512">_xlfn.IFS(Table1[[#This Row],[Sales_Amount]]&gt;200000,"High",AND(Table1[[#This Row],[Sales_Amount]]&gt;100000,Table1[[#This Row],[Sales_Amount]]&lt;200000),"Medium",Table1[[#This Row],[Sales_Amount]]&lt;100000,"Low")</f>
        <v>Low</v>
      </c>
      <c r="N512" t="str">
        <f>TEXT(Table1[[#This Row],[Order_Date]],"MMMM")</f>
        <v>November</v>
      </c>
      <c r="O512">
        <f>YEAR(Table1[[#This Row],[Order_Date]])</f>
        <v>2026</v>
      </c>
    </row>
    <row r="513" spans="1:15" x14ac:dyDescent="0.3">
      <c r="A513" t="s">
        <v>544</v>
      </c>
      <c r="B513" s="1">
        <v>46332</v>
      </c>
      <c r="C513" t="s">
        <v>28</v>
      </c>
      <c r="D513" t="s">
        <v>34</v>
      </c>
      <c r="E513" t="s">
        <v>25</v>
      </c>
      <c r="F513" s="3">
        <v>5</v>
      </c>
      <c r="G513" s="4">
        <v>33814</v>
      </c>
      <c r="H513" s="4">
        <v>169070</v>
      </c>
      <c r="I513" s="4">
        <v>129964.07</v>
      </c>
      <c r="J513" s="4">
        <v>39105.93</v>
      </c>
      <c r="K513" t="s">
        <v>26</v>
      </c>
      <c r="L513" s="3">
        <f>(Table1[[#This Row],[Profit]]/Table1[[#This Row],[Sales_Amount]])*100</f>
        <v>23.130023067368548</v>
      </c>
      <c r="M513" s="4" t="str" cm="1">
        <f t="array" ref="M513">_xlfn.IFS(Table1[[#This Row],[Sales_Amount]]&gt;200000,"High",AND(Table1[[#This Row],[Sales_Amount]]&gt;100000,Table1[[#This Row],[Sales_Amount]]&lt;200000),"Medium",Table1[[#This Row],[Sales_Amount]]&lt;100000,"Low")</f>
        <v>Medium</v>
      </c>
      <c r="N513" t="str">
        <f>TEXT(Table1[[#This Row],[Order_Date]],"MMMM")</f>
        <v>November</v>
      </c>
      <c r="O513">
        <f>YEAR(Table1[[#This Row],[Order_Date]])</f>
        <v>2026</v>
      </c>
    </row>
    <row r="514" spans="1:15" x14ac:dyDescent="0.3">
      <c r="A514" t="s">
        <v>545</v>
      </c>
      <c r="B514" s="1">
        <v>46333</v>
      </c>
      <c r="C514" t="s">
        <v>28</v>
      </c>
      <c r="D514" t="s">
        <v>34</v>
      </c>
      <c r="E514" t="s">
        <v>22</v>
      </c>
      <c r="F514" s="3">
        <v>8</v>
      </c>
      <c r="G514" s="4">
        <v>22256</v>
      </c>
      <c r="H514" s="4">
        <v>178048</v>
      </c>
      <c r="I514" s="4">
        <v>136748.92000000001</v>
      </c>
      <c r="J514" s="4">
        <v>41299.08</v>
      </c>
      <c r="K514" t="s">
        <v>58</v>
      </c>
      <c r="L514" s="3">
        <f>(Table1[[#This Row],[Profit]]/Table1[[#This Row],[Sales_Amount]])*100</f>
        <v>23.195475377426312</v>
      </c>
      <c r="M514" s="4" t="str" cm="1">
        <f t="array" ref="M514">_xlfn.IFS(Table1[[#This Row],[Sales_Amount]]&gt;200000,"High",AND(Table1[[#This Row],[Sales_Amount]]&gt;100000,Table1[[#This Row],[Sales_Amount]]&lt;200000),"Medium",Table1[[#This Row],[Sales_Amount]]&lt;100000,"Low")</f>
        <v>Medium</v>
      </c>
      <c r="N514" t="str">
        <f>TEXT(Table1[[#This Row],[Order_Date]],"MMMM")</f>
        <v>November</v>
      </c>
      <c r="O514">
        <f>YEAR(Table1[[#This Row],[Order_Date]])</f>
        <v>2026</v>
      </c>
    </row>
    <row r="515" spans="1:15" x14ac:dyDescent="0.3">
      <c r="A515" t="s">
        <v>546</v>
      </c>
      <c r="B515" s="1">
        <v>46334</v>
      </c>
      <c r="C515" t="s">
        <v>40</v>
      </c>
      <c r="D515" t="s">
        <v>34</v>
      </c>
      <c r="E515" t="s">
        <v>14</v>
      </c>
      <c r="F515" s="3">
        <v>4</v>
      </c>
      <c r="G515" s="4">
        <v>643</v>
      </c>
      <c r="H515" s="4">
        <v>2572</v>
      </c>
      <c r="I515" s="4">
        <v>1806.59</v>
      </c>
      <c r="J515" s="4">
        <v>765.41</v>
      </c>
      <c r="K515" t="s">
        <v>15</v>
      </c>
      <c r="L515" s="3">
        <f>(Table1[[#This Row],[Profit]]/Table1[[#This Row],[Sales_Amount]])*100</f>
        <v>29.759331259720064</v>
      </c>
      <c r="M515" s="4" t="str" cm="1">
        <f t="array" ref="M515">_xlfn.IFS(Table1[[#This Row],[Sales_Amount]]&gt;200000,"High",AND(Table1[[#This Row],[Sales_Amount]]&gt;100000,Table1[[#This Row],[Sales_Amount]]&lt;200000),"Medium",Table1[[#This Row],[Sales_Amount]]&lt;100000,"Low")</f>
        <v>Low</v>
      </c>
      <c r="N515" t="str">
        <f>TEXT(Table1[[#This Row],[Order_Date]],"MMMM")</f>
        <v>November</v>
      </c>
      <c r="O515">
        <f>YEAR(Table1[[#This Row],[Order_Date]])</f>
        <v>2026</v>
      </c>
    </row>
    <row r="516" spans="1:15" x14ac:dyDescent="0.3">
      <c r="A516" t="s">
        <v>547</v>
      </c>
      <c r="B516" s="1">
        <v>46335</v>
      </c>
      <c r="C516" t="s">
        <v>28</v>
      </c>
      <c r="D516" t="s">
        <v>29</v>
      </c>
      <c r="E516" t="s">
        <v>22</v>
      </c>
      <c r="F516" s="3">
        <v>8</v>
      </c>
      <c r="G516" s="4">
        <v>9704</v>
      </c>
      <c r="H516" s="4">
        <v>77632</v>
      </c>
      <c r="I516" s="4">
        <v>65719.490000000005</v>
      </c>
      <c r="J516" s="4">
        <v>11912.51</v>
      </c>
      <c r="K516" t="s">
        <v>26</v>
      </c>
      <c r="L516" s="3">
        <f>(Table1[[#This Row],[Profit]]/Table1[[#This Row],[Sales_Amount]])*100</f>
        <v>15.344844909315746</v>
      </c>
      <c r="M516" s="4" t="str" cm="1">
        <f t="array" ref="M516">_xlfn.IFS(Table1[[#This Row],[Sales_Amount]]&gt;200000,"High",AND(Table1[[#This Row],[Sales_Amount]]&gt;100000,Table1[[#This Row],[Sales_Amount]]&lt;200000),"Medium",Table1[[#This Row],[Sales_Amount]]&lt;100000,"Low")</f>
        <v>Low</v>
      </c>
      <c r="N516" t="str">
        <f>TEXT(Table1[[#This Row],[Order_Date]],"MMMM")</f>
        <v>November</v>
      </c>
      <c r="O516">
        <f>YEAR(Table1[[#This Row],[Order_Date]])</f>
        <v>2026</v>
      </c>
    </row>
    <row r="517" spans="1:15" x14ac:dyDescent="0.3">
      <c r="A517" t="s">
        <v>548</v>
      </c>
      <c r="B517" s="1">
        <v>46336</v>
      </c>
      <c r="C517" t="s">
        <v>28</v>
      </c>
      <c r="D517" t="s">
        <v>51</v>
      </c>
      <c r="E517" t="s">
        <v>22</v>
      </c>
      <c r="F517" s="3">
        <v>4</v>
      </c>
      <c r="G517" s="4">
        <v>8413</v>
      </c>
      <c r="H517" s="4">
        <v>33652</v>
      </c>
      <c r="I517" s="4">
        <v>29582.29</v>
      </c>
      <c r="J517" s="4">
        <v>4069.71</v>
      </c>
      <c r="K517" t="s">
        <v>58</v>
      </c>
      <c r="L517" s="3">
        <f>(Table1[[#This Row],[Profit]]/Table1[[#This Row],[Sales_Amount]])*100</f>
        <v>12.093515987162725</v>
      </c>
      <c r="M517" s="4" t="str" cm="1">
        <f t="array" ref="M517">_xlfn.IFS(Table1[[#This Row],[Sales_Amount]]&gt;200000,"High",AND(Table1[[#This Row],[Sales_Amount]]&gt;100000,Table1[[#This Row],[Sales_Amount]]&lt;200000),"Medium",Table1[[#This Row],[Sales_Amount]]&lt;100000,"Low")</f>
        <v>Low</v>
      </c>
      <c r="N517" t="str">
        <f>TEXT(Table1[[#This Row],[Order_Date]],"MMMM")</f>
        <v>November</v>
      </c>
      <c r="O517">
        <f>YEAR(Table1[[#This Row],[Order_Date]])</f>
        <v>2026</v>
      </c>
    </row>
    <row r="518" spans="1:15" x14ac:dyDescent="0.3">
      <c r="A518" t="s">
        <v>549</v>
      </c>
      <c r="B518" s="1">
        <v>46337</v>
      </c>
      <c r="C518" t="s">
        <v>17</v>
      </c>
      <c r="D518" t="s">
        <v>29</v>
      </c>
      <c r="E518" t="s">
        <v>19</v>
      </c>
      <c r="F518" s="3">
        <v>6</v>
      </c>
      <c r="G518" s="4">
        <v>7562</v>
      </c>
      <c r="H518" s="4">
        <v>45372</v>
      </c>
      <c r="I518" s="4">
        <v>37529.21</v>
      </c>
      <c r="J518" s="4">
        <v>7842.79</v>
      </c>
      <c r="K518" t="s">
        <v>58</v>
      </c>
      <c r="L518" s="3">
        <f>(Table1[[#This Row],[Profit]]/Table1[[#This Row],[Sales_Amount]])*100</f>
        <v>17.285528519791942</v>
      </c>
      <c r="M518" s="4" t="str" cm="1">
        <f t="array" ref="M518">_xlfn.IFS(Table1[[#This Row],[Sales_Amount]]&gt;200000,"High",AND(Table1[[#This Row],[Sales_Amount]]&gt;100000,Table1[[#This Row],[Sales_Amount]]&lt;200000),"Medium",Table1[[#This Row],[Sales_Amount]]&lt;100000,"Low")</f>
        <v>Low</v>
      </c>
      <c r="N518" t="str">
        <f>TEXT(Table1[[#This Row],[Order_Date]],"MMMM")</f>
        <v>November</v>
      </c>
      <c r="O518">
        <f>YEAR(Table1[[#This Row],[Order_Date]])</f>
        <v>2026</v>
      </c>
    </row>
    <row r="519" spans="1:15" x14ac:dyDescent="0.3">
      <c r="A519" t="s">
        <v>550</v>
      </c>
      <c r="B519" s="1">
        <v>46338</v>
      </c>
      <c r="C519" t="s">
        <v>28</v>
      </c>
      <c r="D519" t="s">
        <v>18</v>
      </c>
      <c r="E519" t="s">
        <v>19</v>
      </c>
      <c r="F519" s="3">
        <v>10</v>
      </c>
      <c r="G519" s="4">
        <v>33543</v>
      </c>
      <c r="H519" s="4">
        <v>335430</v>
      </c>
      <c r="I519" s="4">
        <v>214806.29</v>
      </c>
      <c r="J519" s="4">
        <v>120623.71</v>
      </c>
      <c r="K519" t="s">
        <v>15</v>
      </c>
      <c r="L519" s="3">
        <f>(Table1[[#This Row],[Profit]]/Table1[[#This Row],[Sales_Amount]])*100</f>
        <v>35.960918820618318</v>
      </c>
      <c r="M519" s="4" t="str" cm="1">
        <f t="array" ref="M519">_xlfn.IFS(Table1[[#This Row],[Sales_Amount]]&gt;200000,"High",AND(Table1[[#This Row],[Sales_Amount]]&gt;100000,Table1[[#This Row],[Sales_Amount]]&lt;200000),"Medium",Table1[[#This Row],[Sales_Amount]]&lt;100000,"Low")</f>
        <v>High</v>
      </c>
      <c r="N519" t="str">
        <f>TEXT(Table1[[#This Row],[Order_Date]],"MMMM")</f>
        <v>November</v>
      </c>
      <c r="O519">
        <f>YEAR(Table1[[#This Row],[Order_Date]])</f>
        <v>2026</v>
      </c>
    </row>
    <row r="520" spans="1:15" x14ac:dyDescent="0.3">
      <c r="A520" t="s">
        <v>551</v>
      </c>
      <c r="B520" s="1">
        <v>46339</v>
      </c>
      <c r="C520" t="s">
        <v>12</v>
      </c>
      <c r="D520" t="s">
        <v>13</v>
      </c>
      <c r="E520" t="s">
        <v>37</v>
      </c>
      <c r="F520" s="3">
        <v>10</v>
      </c>
      <c r="G520" s="4">
        <v>32149</v>
      </c>
      <c r="H520" s="4">
        <v>321490</v>
      </c>
      <c r="I520" s="4">
        <v>282046.8</v>
      </c>
      <c r="J520" s="4">
        <v>39443.199999999997</v>
      </c>
      <c r="K520" t="s">
        <v>23</v>
      </c>
      <c r="L520" s="3">
        <f>(Table1[[#This Row],[Profit]]/Table1[[#This Row],[Sales_Amount]])*100</f>
        <v>12.268873059815235</v>
      </c>
      <c r="M520" s="4" t="str" cm="1">
        <f t="array" ref="M520">_xlfn.IFS(Table1[[#This Row],[Sales_Amount]]&gt;200000,"High",AND(Table1[[#This Row],[Sales_Amount]]&gt;100000,Table1[[#This Row],[Sales_Amount]]&lt;200000),"Medium",Table1[[#This Row],[Sales_Amount]]&lt;100000,"Low")</f>
        <v>High</v>
      </c>
      <c r="N520" t="str">
        <f>TEXT(Table1[[#This Row],[Order_Date]],"MMMM")</f>
        <v>November</v>
      </c>
      <c r="O520">
        <f>YEAR(Table1[[#This Row],[Order_Date]])</f>
        <v>2026</v>
      </c>
    </row>
    <row r="521" spans="1:15" x14ac:dyDescent="0.3">
      <c r="A521" t="s">
        <v>552</v>
      </c>
      <c r="B521" s="1">
        <v>46340</v>
      </c>
      <c r="C521" t="s">
        <v>28</v>
      </c>
      <c r="D521" t="s">
        <v>21</v>
      </c>
      <c r="E521" t="s">
        <v>37</v>
      </c>
      <c r="F521" s="3">
        <v>10</v>
      </c>
      <c r="G521" s="4">
        <v>40225</v>
      </c>
      <c r="H521" s="4">
        <v>402250</v>
      </c>
      <c r="I521" s="4">
        <v>347869.32</v>
      </c>
      <c r="J521" s="4">
        <v>54380.68</v>
      </c>
      <c r="K521" t="s">
        <v>23</v>
      </c>
      <c r="L521" s="3">
        <f>(Table1[[#This Row],[Profit]]/Table1[[#This Row],[Sales_Amount]])*100</f>
        <v>13.519124922311995</v>
      </c>
      <c r="M521" s="4" t="str" cm="1">
        <f t="array" ref="M521">_xlfn.IFS(Table1[[#This Row],[Sales_Amount]]&gt;200000,"High",AND(Table1[[#This Row],[Sales_Amount]]&gt;100000,Table1[[#This Row],[Sales_Amount]]&lt;200000),"Medium",Table1[[#This Row],[Sales_Amount]]&lt;100000,"Low")</f>
        <v>High</v>
      </c>
      <c r="N521" t="str">
        <f>TEXT(Table1[[#This Row],[Order_Date]],"MMMM")</f>
        <v>November</v>
      </c>
      <c r="O521">
        <f>YEAR(Table1[[#This Row],[Order_Date]])</f>
        <v>2026</v>
      </c>
    </row>
    <row r="522" spans="1:15" x14ac:dyDescent="0.3">
      <c r="A522" t="s">
        <v>553</v>
      </c>
      <c r="B522" s="1">
        <v>46341</v>
      </c>
      <c r="C522" t="s">
        <v>12</v>
      </c>
      <c r="D522" t="s">
        <v>13</v>
      </c>
      <c r="E522" t="s">
        <v>37</v>
      </c>
      <c r="F522" s="3">
        <v>6</v>
      </c>
      <c r="G522" s="4">
        <v>19778</v>
      </c>
      <c r="H522" s="4">
        <v>118668</v>
      </c>
      <c r="I522" s="4">
        <v>87322.29</v>
      </c>
      <c r="J522" s="4">
        <v>31345.71</v>
      </c>
      <c r="K522" t="s">
        <v>58</v>
      </c>
      <c r="L522" s="3">
        <f>(Table1[[#This Row],[Profit]]/Table1[[#This Row],[Sales_Amount]])*100</f>
        <v>26.414627363737488</v>
      </c>
      <c r="M522" s="4" t="str" cm="1">
        <f t="array" ref="M522">_xlfn.IFS(Table1[[#This Row],[Sales_Amount]]&gt;200000,"High",AND(Table1[[#This Row],[Sales_Amount]]&gt;100000,Table1[[#This Row],[Sales_Amount]]&lt;200000),"Medium",Table1[[#This Row],[Sales_Amount]]&lt;100000,"Low")</f>
        <v>Medium</v>
      </c>
      <c r="N522" t="str">
        <f>TEXT(Table1[[#This Row],[Order_Date]],"MMMM")</f>
        <v>November</v>
      </c>
      <c r="O522">
        <f>YEAR(Table1[[#This Row],[Order_Date]])</f>
        <v>2026</v>
      </c>
    </row>
    <row r="523" spans="1:15" x14ac:dyDescent="0.3">
      <c r="A523" t="s">
        <v>554</v>
      </c>
      <c r="B523" s="1">
        <v>46342</v>
      </c>
      <c r="C523" t="s">
        <v>40</v>
      </c>
      <c r="D523" t="s">
        <v>51</v>
      </c>
      <c r="E523" t="s">
        <v>19</v>
      </c>
      <c r="F523" s="3">
        <v>9</v>
      </c>
      <c r="G523" s="4">
        <v>20089</v>
      </c>
      <c r="H523" s="4">
        <v>180801</v>
      </c>
      <c r="I523" s="4">
        <v>154209.21</v>
      </c>
      <c r="J523" s="4">
        <v>26591.79</v>
      </c>
      <c r="K523" t="s">
        <v>23</v>
      </c>
      <c r="L523" s="3">
        <f>(Table1[[#This Row],[Profit]]/Table1[[#This Row],[Sales_Amount]])*100</f>
        <v>14.707767103058059</v>
      </c>
      <c r="M523" s="4" t="str" cm="1">
        <f t="array" ref="M523">_xlfn.IFS(Table1[[#This Row],[Sales_Amount]]&gt;200000,"High",AND(Table1[[#This Row],[Sales_Amount]]&gt;100000,Table1[[#This Row],[Sales_Amount]]&lt;200000),"Medium",Table1[[#This Row],[Sales_Amount]]&lt;100000,"Low")</f>
        <v>Medium</v>
      </c>
      <c r="N523" t="str">
        <f>TEXT(Table1[[#This Row],[Order_Date]],"MMMM")</f>
        <v>November</v>
      </c>
      <c r="O523">
        <f>YEAR(Table1[[#This Row],[Order_Date]])</f>
        <v>2026</v>
      </c>
    </row>
    <row r="524" spans="1:15" x14ac:dyDescent="0.3">
      <c r="A524" t="s">
        <v>555</v>
      </c>
      <c r="B524" s="1">
        <v>46343</v>
      </c>
      <c r="C524" t="s">
        <v>12</v>
      </c>
      <c r="D524" t="s">
        <v>13</v>
      </c>
      <c r="E524" t="s">
        <v>25</v>
      </c>
      <c r="F524" s="3">
        <v>5</v>
      </c>
      <c r="G524" s="4">
        <v>45497</v>
      </c>
      <c r="H524" s="4">
        <v>227485</v>
      </c>
      <c r="I524" s="4">
        <v>160055.73000000001</v>
      </c>
      <c r="J524" s="4">
        <v>67429.27</v>
      </c>
      <c r="K524" t="s">
        <v>26</v>
      </c>
      <c r="L524" s="3">
        <f>(Table1[[#This Row],[Profit]]/Table1[[#This Row],[Sales_Amount]])*100</f>
        <v>29.64119392487417</v>
      </c>
      <c r="M524" s="4" t="str" cm="1">
        <f t="array" ref="M524">_xlfn.IFS(Table1[[#This Row],[Sales_Amount]]&gt;200000,"High",AND(Table1[[#This Row],[Sales_Amount]]&gt;100000,Table1[[#This Row],[Sales_Amount]]&lt;200000),"Medium",Table1[[#This Row],[Sales_Amount]]&lt;100000,"Low")</f>
        <v>High</v>
      </c>
      <c r="N524" t="str">
        <f>TEXT(Table1[[#This Row],[Order_Date]],"MMMM")</f>
        <v>November</v>
      </c>
      <c r="O524">
        <f>YEAR(Table1[[#This Row],[Order_Date]])</f>
        <v>2026</v>
      </c>
    </row>
    <row r="525" spans="1:15" x14ac:dyDescent="0.3">
      <c r="A525" t="s">
        <v>556</v>
      </c>
      <c r="B525" s="1">
        <v>46344</v>
      </c>
      <c r="C525" t="s">
        <v>28</v>
      </c>
      <c r="D525" t="s">
        <v>44</v>
      </c>
      <c r="E525" t="s">
        <v>32</v>
      </c>
      <c r="F525" s="3">
        <v>9</v>
      </c>
      <c r="G525" s="4">
        <v>31981</v>
      </c>
      <c r="H525" s="4">
        <v>287829</v>
      </c>
      <c r="I525" s="4">
        <v>223021.96</v>
      </c>
      <c r="J525" s="4">
        <v>64807.040000000001</v>
      </c>
      <c r="K525" t="s">
        <v>58</v>
      </c>
      <c r="L525" s="3">
        <f>(Table1[[#This Row],[Profit]]/Table1[[#This Row],[Sales_Amount]])*100</f>
        <v>22.515813208537015</v>
      </c>
      <c r="M525" s="4" t="str" cm="1">
        <f t="array" ref="M525">_xlfn.IFS(Table1[[#This Row],[Sales_Amount]]&gt;200000,"High",AND(Table1[[#This Row],[Sales_Amount]]&gt;100000,Table1[[#This Row],[Sales_Amount]]&lt;200000),"Medium",Table1[[#This Row],[Sales_Amount]]&lt;100000,"Low")</f>
        <v>High</v>
      </c>
      <c r="N525" t="str">
        <f>TEXT(Table1[[#This Row],[Order_Date]],"MMMM")</f>
        <v>November</v>
      </c>
      <c r="O525">
        <f>YEAR(Table1[[#This Row],[Order_Date]])</f>
        <v>2026</v>
      </c>
    </row>
    <row r="526" spans="1:15" x14ac:dyDescent="0.3">
      <c r="A526" t="s">
        <v>557</v>
      </c>
      <c r="B526" s="1">
        <v>46345</v>
      </c>
      <c r="C526" t="s">
        <v>17</v>
      </c>
      <c r="D526" t="s">
        <v>18</v>
      </c>
      <c r="E526" t="s">
        <v>25</v>
      </c>
      <c r="F526" s="3">
        <v>2</v>
      </c>
      <c r="G526" s="4">
        <v>2156</v>
      </c>
      <c r="H526" s="4">
        <v>4312</v>
      </c>
      <c r="I526" s="4">
        <v>3079.89</v>
      </c>
      <c r="J526" s="4">
        <v>1232.1099999999999</v>
      </c>
      <c r="K526" t="s">
        <v>23</v>
      </c>
      <c r="L526" s="3">
        <f>(Table1[[#This Row],[Profit]]/Table1[[#This Row],[Sales_Amount]])*100</f>
        <v>28.573979591836736</v>
      </c>
      <c r="M526" s="4" t="str" cm="1">
        <f t="array" ref="M526">_xlfn.IFS(Table1[[#This Row],[Sales_Amount]]&gt;200000,"High",AND(Table1[[#This Row],[Sales_Amount]]&gt;100000,Table1[[#This Row],[Sales_Amount]]&lt;200000),"Medium",Table1[[#This Row],[Sales_Amount]]&lt;100000,"Low")</f>
        <v>Low</v>
      </c>
      <c r="N526" t="str">
        <f>TEXT(Table1[[#This Row],[Order_Date]],"MMMM")</f>
        <v>November</v>
      </c>
      <c r="O526">
        <f>YEAR(Table1[[#This Row],[Order_Date]])</f>
        <v>2026</v>
      </c>
    </row>
    <row r="527" spans="1:15" x14ac:dyDescent="0.3">
      <c r="A527" t="s">
        <v>558</v>
      </c>
      <c r="B527" s="1">
        <v>46346</v>
      </c>
      <c r="C527" t="s">
        <v>17</v>
      </c>
      <c r="D527" t="s">
        <v>44</v>
      </c>
      <c r="E527" t="s">
        <v>22</v>
      </c>
      <c r="F527" s="3">
        <v>5</v>
      </c>
      <c r="G527" s="4">
        <v>45286</v>
      </c>
      <c r="H527" s="4">
        <v>226430</v>
      </c>
      <c r="I527" s="4">
        <v>152878.35999999999</v>
      </c>
      <c r="J527" s="4">
        <v>73551.64</v>
      </c>
      <c r="K527" t="s">
        <v>23</v>
      </c>
      <c r="L527" s="3">
        <f>(Table1[[#This Row],[Profit]]/Table1[[#This Row],[Sales_Amount]])*100</f>
        <v>32.483169191361569</v>
      </c>
      <c r="M527" s="4" t="str" cm="1">
        <f t="array" ref="M527">_xlfn.IFS(Table1[[#This Row],[Sales_Amount]]&gt;200000,"High",AND(Table1[[#This Row],[Sales_Amount]]&gt;100000,Table1[[#This Row],[Sales_Amount]]&lt;200000),"Medium",Table1[[#This Row],[Sales_Amount]]&lt;100000,"Low")</f>
        <v>High</v>
      </c>
      <c r="N527" t="str">
        <f>TEXT(Table1[[#This Row],[Order_Date]],"MMMM")</f>
        <v>November</v>
      </c>
      <c r="O527">
        <f>YEAR(Table1[[#This Row],[Order_Date]])</f>
        <v>2026</v>
      </c>
    </row>
    <row r="528" spans="1:15" x14ac:dyDescent="0.3">
      <c r="A528" t="s">
        <v>559</v>
      </c>
      <c r="B528" s="1">
        <v>46347</v>
      </c>
      <c r="C528" t="s">
        <v>12</v>
      </c>
      <c r="D528" t="s">
        <v>21</v>
      </c>
      <c r="E528" t="s">
        <v>14</v>
      </c>
      <c r="F528" s="3">
        <v>6</v>
      </c>
      <c r="G528" s="4">
        <v>30161</v>
      </c>
      <c r="H528" s="4">
        <v>180966</v>
      </c>
      <c r="I528" s="4">
        <v>114143.22</v>
      </c>
      <c r="J528" s="4">
        <v>66822.78</v>
      </c>
      <c r="K528" t="s">
        <v>23</v>
      </c>
      <c r="L528" s="3">
        <f>(Table1[[#This Row],[Profit]]/Table1[[#This Row],[Sales_Amount]])*100</f>
        <v>36.925599283843376</v>
      </c>
      <c r="M528" s="4" t="str" cm="1">
        <f t="array" ref="M528">_xlfn.IFS(Table1[[#This Row],[Sales_Amount]]&gt;200000,"High",AND(Table1[[#This Row],[Sales_Amount]]&gt;100000,Table1[[#This Row],[Sales_Amount]]&lt;200000),"Medium",Table1[[#This Row],[Sales_Amount]]&lt;100000,"Low")</f>
        <v>Medium</v>
      </c>
      <c r="N528" t="str">
        <f>TEXT(Table1[[#This Row],[Order_Date]],"MMMM")</f>
        <v>November</v>
      </c>
      <c r="O528">
        <f>YEAR(Table1[[#This Row],[Order_Date]])</f>
        <v>2026</v>
      </c>
    </row>
    <row r="529" spans="1:15" x14ac:dyDescent="0.3">
      <c r="A529" t="s">
        <v>560</v>
      </c>
      <c r="B529" s="1">
        <v>46348</v>
      </c>
      <c r="C529" t="s">
        <v>28</v>
      </c>
      <c r="D529" t="s">
        <v>21</v>
      </c>
      <c r="E529" t="s">
        <v>19</v>
      </c>
      <c r="F529" s="3">
        <v>5</v>
      </c>
      <c r="G529" s="4">
        <v>45912</v>
      </c>
      <c r="H529" s="4">
        <v>229560</v>
      </c>
      <c r="I529" s="4">
        <v>183498.34</v>
      </c>
      <c r="J529" s="4">
        <v>46061.66</v>
      </c>
      <c r="K529" t="s">
        <v>58</v>
      </c>
      <c r="L529" s="3">
        <f>(Table1[[#This Row],[Profit]]/Table1[[#This Row],[Sales_Amount]])*100</f>
        <v>20.065194284718594</v>
      </c>
      <c r="M529" s="4" t="str" cm="1">
        <f t="array" ref="M529">_xlfn.IFS(Table1[[#This Row],[Sales_Amount]]&gt;200000,"High",AND(Table1[[#This Row],[Sales_Amount]]&gt;100000,Table1[[#This Row],[Sales_Amount]]&lt;200000),"Medium",Table1[[#This Row],[Sales_Amount]]&lt;100000,"Low")</f>
        <v>High</v>
      </c>
      <c r="N529" t="str">
        <f>TEXT(Table1[[#This Row],[Order_Date]],"MMMM")</f>
        <v>November</v>
      </c>
      <c r="O529">
        <f>YEAR(Table1[[#This Row],[Order_Date]])</f>
        <v>2026</v>
      </c>
    </row>
    <row r="530" spans="1:15" x14ac:dyDescent="0.3">
      <c r="A530" t="s">
        <v>561</v>
      </c>
      <c r="B530" s="1">
        <v>46349</v>
      </c>
      <c r="C530" t="s">
        <v>40</v>
      </c>
      <c r="D530" t="s">
        <v>51</v>
      </c>
      <c r="E530" t="s">
        <v>32</v>
      </c>
      <c r="F530" s="3">
        <v>9</v>
      </c>
      <c r="G530" s="4">
        <v>4025</v>
      </c>
      <c r="H530" s="4">
        <v>36225</v>
      </c>
      <c r="I530" s="4">
        <v>21875.9</v>
      </c>
      <c r="J530" s="4">
        <v>14349.1</v>
      </c>
      <c r="K530" t="s">
        <v>58</v>
      </c>
      <c r="L530" s="3">
        <f>(Table1[[#This Row],[Profit]]/Table1[[#This Row],[Sales_Amount]])*100</f>
        <v>39.61104209799862</v>
      </c>
      <c r="M530" s="4" t="str" cm="1">
        <f t="array" ref="M530">_xlfn.IFS(Table1[[#This Row],[Sales_Amount]]&gt;200000,"High",AND(Table1[[#This Row],[Sales_Amount]]&gt;100000,Table1[[#This Row],[Sales_Amount]]&lt;200000),"Medium",Table1[[#This Row],[Sales_Amount]]&lt;100000,"Low")</f>
        <v>Low</v>
      </c>
      <c r="N530" t="str">
        <f>TEXT(Table1[[#This Row],[Order_Date]],"MMMM")</f>
        <v>November</v>
      </c>
      <c r="O530">
        <f>YEAR(Table1[[#This Row],[Order_Date]])</f>
        <v>2026</v>
      </c>
    </row>
    <row r="531" spans="1:15" x14ac:dyDescent="0.3">
      <c r="A531" t="s">
        <v>562</v>
      </c>
      <c r="B531" s="1">
        <v>46350</v>
      </c>
      <c r="C531" t="s">
        <v>12</v>
      </c>
      <c r="D531" t="s">
        <v>51</v>
      </c>
      <c r="E531" t="s">
        <v>19</v>
      </c>
      <c r="F531" s="3">
        <v>6</v>
      </c>
      <c r="G531" s="4">
        <v>49986</v>
      </c>
      <c r="H531" s="4">
        <v>299916</v>
      </c>
      <c r="I531" s="4">
        <v>232889.45</v>
      </c>
      <c r="J531" s="4">
        <v>67026.55</v>
      </c>
      <c r="K531" t="s">
        <v>26</v>
      </c>
      <c r="L531" s="3">
        <f>(Table1[[#This Row],[Profit]]/Table1[[#This Row],[Sales_Amount]])*100</f>
        <v>22.348440896784432</v>
      </c>
      <c r="M531" s="4" t="str" cm="1">
        <f t="array" ref="M531">_xlfn.IFS(Table1[[#This Row],[Sales_Amount]]&gt;200000,"High",AND(Table1[[#This Row],[Sales_Amount]]&gt;100000,Table1[[#This Row],[Sales_Amount]]&lt;200000),"Medium",Table1[[#This Row],[Sales_Amount]]&lt;100000,"Low")</f>
        <v>High</v>
      </c>
      <c r="N531" t="str">
        <f>TEXT(Table1[[#This Row],[Order_Date]],"MMMM")</f>
        <v>November</v>
      </c>
      <c r="O531">
        <f>YEAR(Table1[[#This Row],[Order_Date]])</f>
        <v>2026</v>
      </c>
    </row>
    <row r="532" spans="1:15" x14ac:dyDescent="0.3">
      <c r="A532" t="s">
        <v>563</v>
      </c>
      <c r="B532" s="1">
        <v>46351</v>
      </c>
      <c r="C532" t="s">
        <v>17</v>
      </c>
      <c r="D532" t="s">
        <v>21</v>
      </c>
      <c r="E532" t="s">
        <v>22</v>
      </c>
      <c r="F532" s="3">
        <v>2</v>
      </c>
      <c r="G532" s="4">
        <v>12753</v>
      </c>
      <c r="H532" s="4">
        <v>25506</v>
      </c>
      <c r="I532" s="4">
        <v>22668.27</v>
      </c>
      <c r="J532" s="4">
        <v>2837.73</v>
      </c>
      <c r="K532" t="s">
        <v>15</v>
      </c>
      <c r="L532" s="3">
        <f>(Table1[[#This Row],[Profit]]/Table1[[#This Row],[Sales_Amount]])*100</f>
        <v>11.125735121147965</v>
      </c>
      <c r="M532" s="4" t="str" cm="1">
        <f t="array" ref="M532">_xlfn.IFS(Table1[[#This Row],[Sales_Amount]]&gt;200000,"High",AND(Table1[[#This Row],[Sales_Amount]]&gt;100000,Table1[[#This Row],[Sales_Amount]]&lt;200000),"Medium",Table1[[#This Row],[Sales_Amount]]&lt;100000,"Low")</f>
        <v>Low</v>
      </c>
      <c r="N532" t="str">
        <f>TEXT(Table1[[#This Row],[Order_Date]],"MMMM")</f>
        <v>November</v>
      </c>
      <c r="O532">
        <f>YEAR(Table1[[#This Row],[Order_Date]])</f>
        <v>2026</v>
      </c>
    </row>
    <row r="533" spans="1:15" x14ac:dyDescent="0.3">
      <c r="A533" t="s">
        <v>564</v>
      </c>
      <c r="B533" s="1">
        <v>46352</v>
      </c>
      <c r="C533" t="s">
        <v>40</v>
      </c>
      <c r="D533" t="s">
        <v>18</v>
      </c>
      <c r="E533" t="s">
        <v>32</v>
      </c>
      <c r="F533" s="3">
        <v>9</v>
      </c>
      <c r="G533" s="4">
        <v>17817</v>
      </c>
      <c r="H533" s="4">
        <v>160353</v>
      </c>
      <c r="I533" s="4">
        <v>102468.77</v>
      </c>
      <c r="J533" s="4">
        <v>57884.23</v>
      </c>
      <c r="K533" t="s">
        <v>26</v>
      </c>
      <c r="L533" s="3">
        <f>(Table1[[#This Row],[Profit]]/Table1[[#This Row],[Sales_Amount]])*100</f>
        <v>36.098002531913963</v>
      </c>
      <c r="M533" s="4" t="str" cm="1">
        <f t="array" ref="M533">_xlfn.IFS(Table1[[#This Row],[Sales_Amount]]&gt;200000,"High",AND(Table1[[#This Row],[Sales_Amount]]&gt;100000,Table1[[#This Row],[Sales_Amount]]&lt;200000),"Medium",Table1[[#This Row],[Sales_Amount]]&lt;100000,"Low")</f>
        <v>Medium</v>
      </c>
      <c r="N533" t="str">
        <f>TEXT(Table1[[#This Row],[Order_Date]],"MMMM")</f>
        <v>November</v>
      </c>
      <c r="O533">
        <f>YEAR(Table1[[#This Row],[Order_Date]])</f>
        <v>2026</v>
      </c>
    </row>
    <row r="534" spans="1:15" x14ac:dyDescent="0.3">
      <c r="A534" t="s">
        <v>565</v>
      </c>
      <c r="B534" s="1">
        <v>46353</v>
      </c>
      <c r="C534" t="s">
        <v>40</v>
      </c>
      <c r="D534" t="s">
        <v>18</v>
      </c>
      <c r="E534" t="s">
        <v>19</v>
      </c>
      <c r="F534" s="3">
        <v>3</v>
      </c>
      <c r="G534" s="4">
        <v>3117</v>
      </c>
      <c r="H534" s="4">
        <v>9351</v>
      </c>
      <c r="I534" s="4">
        <v>6041.78</v>
      </c>
      <c r="J534" s="4">
        <v>3309.22</v>
      </c>
      <c r="K534" t="s">
        <v>26</v>
      </c>
      <c r="L534" s="3">
        <f>(Table1[[#This Row],[Profit]]/Table1[[#This Row],[Sales_Amount]])*100</f>
        <v>35.388942359105975</v>
      </c>
      <c r="M534" s="4" t="str" cm="1">
        <f t="array" ref="M534">_xlfn.IFS(Table1[[#This Row],[Sales_Amount]]&gt;200000,"High",AND(Table1[[#This Row],[Sales_Amount]]&gt;100000,Table1[[#This Row],[Sales_Amount]]&lt;200000),"Medium",Table1[[#This Row],[Sales_Amount]]&lt;100000,"Low")</f>
        <v>Low</v>
      </c>
      <c r="N534" t="str">
        <f>TEXT(Table1[[#This Row],[Order_Date]],"MMMM")</f>
        <v>November</v>
      </c>
      <c r="O534">
        <f>YEAR(Table1[[#This Row],[Order_Date]])</f>
        <v>2026</v>
      </c>
    </row>
    <row r="535" spans="1:15" x14ac:dyDescent="0.3">
      <c r="A535" t="s">
        <v>566</v>
      </c>
      <c r="B535" s="1">
        <v>46354</v>
      </c>
      <c r="C535" t="s">
        <v>40</v>
      </c>
      <c r="D535" t="s">
        <v>51</v>
      </c>
      <c r="E535" t="s">
        <v>25</v>
      </c>
      <c r="F535" s="3">
        <v>9</v>
      </c>
      <c r="G535" s="4">
        <v>23967</v>
      </c>
      <c r="H535" s="4">
        <v>215703</v>
      </c>
      <c r="I535" s="4">
        <v>134137.98000000001</v>
      </c>
      <c r="J535" s="4">
        <v>81565.02</v>
      </c>
      <c r="K535" t="s">
        <v>23</v>
      </c>
      <c r="L535" s="3">
        <f>(Table1[[#This Row],[Profit]]/Table1[[#This Row],[Sales_Amount]])*100</f>
        <v>37.813577001710684</v>
      </c>
      <c r="M535" s="4" t="str" cm="1">
        <f t="array" ref="M535">_xlfn.IFS(Table1[[#This Row],[Sales_Amount]]&gt;200000,"High",AND(Table1[[#This Row],[Sales_Amount]]&gt;100000,Table1[[#This Row],[Sales_Amount]]&lt;200000),"Medium",Table1[[#This Row],[Sales_Amount]]&lt;100000,"Low")</f>
        <v>High</v>
      </c>
      <c r="N535" t="str">
        <f>TEXT(Table1[[#This Row],[Order_Date]],"MMMM")</f>
        <v>November</v>
      </c>
      <c r="O535">
        <f>YEAR(Table1[[#This Row],[Order_Date]])</f>
        <v>2026</v>
      </c>
    </row>
    <row r="536" spans="1:15" x14ac:dyDescent="0.3">
      <c r="A536" t="s">
        <v>567</v>
      </c>
      <c r="B536" s="1">
        <v>46355</v>
      </c>
      <c r="C536" t="s">
        <v>28</v>
      </c>
      <c r="D536" t="s">
        <v>29</v>
      </c>
      <c r="E536" t="s">
        <v>14</v>
      </c>
      <c r="F536" s="3">
        <v>9</v>
      </c>
      <c r="G536" s="4">
        <v>10944</v>
      </c>
      <c r="H536" s="4">
        <v>98496</v>
      </c>
      <c r="I536" s="4">
        <v>71387.87</v>
      </c>
      <c r="J536" s="4">
        <v>27108.13</v>
      </c>
      <c r="K536" t="s">
        <v>26</v>
      </c>
      <c r="L536" s="3">
        <f>(Table1[[#This Row],[Profit]]/Table1[[#This Row],[Sales_Amount]])*100</f>
        <v>27.522061809616634</v>
      </c>
      <c r="M536" s="4" t="str" cm="1">
        <f t="array" ref="M536">_xlfn.IFS(Table1[[#This Row],[Sales_Amount]]&gt;200000,"High",AND(Table1[[#This Row],[Sales_Amount]]&gt;100000,Table1[[#This Row],[Sales_Amount]]&lt;200000),"Medium",Table1[[#This Row],[Sales_Amount]]&lt;100000,"Low")</f>
        <v>Low</v>
      </c>
      <c r="N536" t="str">
        <f>TEXT(Table1[[#This Row],[Order_Date]],"MMMM")</f>
        <v>November</v>
      </c>
      <c r="O536">
        <f>YEAR(Table1[[#This Row],[Order_Date]])</f>
        <v>2026</v>
      </c>
    </row>
    <row r="537" spans="1:15" x14ac:dyDescent="0.3">
      <c r="A537" t="s">
        <v>568</v>
      </c>
      <c r="B537" s="1">
        <v>46356</v>
      </c>
      <c r="C537" t="s">
        <v>12</v>
      </c>
      <c r="D537" t="s">
        <v>56</v>
      </c>
      <c r="E537" t="s">
        <v>22</v>
      </c>
      <c r="F537" s="3">
        <v>6</v>
      </c>
      <c r="G537" s="4">
        <v>22196</v>
      </c>
      <c r="H537" s="4">
        <v>133176</v>
      </c>
      <c r="I537" s="4">
        <v>94320.48</v>
      </c>
      <c r="J537" s="4">
        <v>38855.519999999997</v>
      </c>
      <c r="K537" t="s">
        <v>15</v>
      </c>
      <c r="L537" s="3">
        <f>(Table1[[#This Row],[Profit]]/Table1[[#This Row],[Sales_Amount]])*100</f>
        <v>29.176067759956748</v>
      </c>
      <c r="M537" s="4" t="str" cm="1">
        <f t="array" ref="M537">_xlfn.IFS(Table1[[#This Row],[Sales_Amount]]&gt;200000,"High",AND(Table1[[#This Row],[Sales_Amount]]&gt;100000,Table1[[#This Row],[Sales_Amount]]&lt;200000),"Medium",Table1[[#This Row],[Sales_Amount]]&lt;100000,"Low")</f>
        <v>Medium</v>
      </c>
      <c r="N537" t="str">
        <f>TEXT(Table1[[#This Row],[Order_Date]],"MMMM")</f>
        <v>November</v>
      </c>
      <c r="O537">
        <f>YEAR(Table1[[#This Row],[Order_Date]])</f>
        <v>2026</v>
      </c>
    </row>
    <row r="538" spans="1:15" x14ac:dyDescent="0.3">
      <c r="A538" t="s">
        <v>569</v>
      </c>
      <c r="B538" s="1">
        <v>46357</v>
      </c>
      <c r="C538" t="s">
        <v>12</v>
      </c>
      <c r="D538" t="s">
        <v>18</v>
      </c>
      <c r="E538" t="s">
        <v>19</v>
      </c>
      <c r="F538" s="3">
        <v>6</v>
      </c>
      <c r="G538" s="4">
        <v>29707</v>
      </c>
      <c r="H538" s="4">
        <v>178242</v>
      </c>
      <c r="I538" s="4">
        <v>119797.23</v>
      </c>
      <c r="J538" s="4">
        <v>58444.77</v>
      </c>
      <c r="K538" t="s">
        <v>26</v>
      </c>
      <c r="L538" s="3">
        <f>(Table1[[#This Row],[Profit]]/Table1[[#This Row],[Sales_Amount]])*100</f>
        <v>32.789561382839061</v>
      </c>
      <c r="M538" s="4" t="str" cm="1">
        <f t="array" ref="M538">_xlfn.IFS(Table1[[#This Row],[Sales_Amount]]&gt;200000,"High",AND(Table1[[#This Row],[Sales_Amount]]&gt;100000,Table1[[#This Row],[Sales_Amount]]&lt;200000),"Medium",Table1[[#This Row],[Sales_Amount]]&lt;100000,"Low")</f>
        <v>Medium</v>
      </c>
      <c r="N538" t="str">
        <f>TEXT(Table1[[#This Row],[Order_Date]],"MMMM")</f>
        <v>December</v>
      </c>
      <c r="O538">
        <f>YEAR(Table1[[#This Row],[Order_Date]])</f>
        <v>2026</v>
      </c>
    </row>
    <row r="539" spans="1:15" x14ac:dyDescent="0.3">
      <c r="A539" t="s">
        <v>570</v>
      </c>
      <c r="B539" s="1">
        <v>46358</v>
      </c>
      <c r="C539" t="s">
        <v>40</v>
      </c>
      <c r="D539" t="s">
        <v>18</v>
      </c>
      <c r="E539" t="s">
        <v>14</v>
      </c>
      <c r="F539" s="3">
        <v>7</v>
      </c>
      <c r="G539" s="4">
        <v>17315</v>
      </c>
      <c r="H539" s="4">
        <v>121205</v>
      </c>
      <c r="I539" s="4">
        <v>92366.84</v>
      </c>
      <c r="J539" s="4">
        <v>28838.16</v>
      </c>
      <c r="K539" t="s">
        <v>26</v>
      </c>
      <c r="L539" s="3">
        <f>(Table1[[#This Row],[Profit]]/Table1[[#This Row],[Sales_Amount]])*100</f>
        <v>23.792879831690112</v>
      </c>
      <c r="M539" s="4" t="str" cm="1">
        <f t="array" ref="M539">_xlfn.IFS(Table1[[#This Row],[Sales_Amount]]&gt;200000,"High",AND(Table1[[#This Row],[Sales_Amount]]&gt;100000,Table1[[#This Row],[Sales_Amount]]&lt;200000),"Medium",Table1[[#This Row],[Sales_Amount]]&lt;100000,"Low")</f>
        <v>Medium</v>
      </c>
      <c r="N539" t="str">
        <f>TEXT(Table1[[#This Row],[Order_Date]],"MMMM")</f>
        <v>December</v>
      </c>
      <c r="O539">
        <f>YEAR(Table1[[#This Row],[Order_Date]])</f>
        <v>2026</v>
      </c>
    </row>
    <row r="540" spans="1:15" x14ac:dyDescent="0.3">
      <c r="A540" t="s">
        <v>571</v>
      </c>
      <c r="B540" s="1">
        <v>46359</v>
      </c>
      <c r="C540" t="s">
        <v>12</v>
      </c>
      <c r="D540" t="s">
        <v>34</v>
      </c>
      <c r="E540" t="s">
        <v>25</v>
      </c>
      <c r="F540" s="3">
        <v>8</v>
      </c>
      <c r="G540" s="4">
        <v>32403</v>
      </c>
      <c r="H540" s="4">
        <v>259224</v>
      </c>
      <c r="I540" s="4">
        <v>158944.62</v>
      </c>
      <c r="J540" s="4">
        <v>100279.38</v>
      </c>
      <c r="K540" t="s">
        <v>15</v>
      </c>
      <c r="L540" s="3">
        <f>(Table1[[#This Row],[Profit]]/Table1[[#This Row],[Sales_Amount]])*100</f>
        <v>38.684450513841313</v>
      </c>
      <c r="M540" s="4" t="str" cm="1">
        <f t="array" ref="M540">_xlfn.IFS(Table1[[#This Row],[Sales_Amount]]&gt;200000,"High",AND(Table1[[#This Row],[Sales_Amount]]&gt;100000,Table1[[#This Row],[Sales_Amount]]&lt;200000),"Medium",Table1[[#This Row],[Sales_Amount]]&lt;100000,"Low")</f>
        <v>High</v>
      </c>
      <c r="N540" t="str">
        <f>TEXT(Table1[[#This Row],[Order_Date]],"MMMM")</f>
        <v>December</v>
      </c>
      <c r="O540">
        <f>YEAR(Table1[[#This Row],[Order_Date]])</f>
        <v>2026</v>
      </c>
    </row>
    <row r="541" spans="1:15" x14ac:dyDescent="0.3">
      <c r="A541" t="s">
        <v>572</v>
      </c>
      <c r="B541" s="1">
        <v>46360</v>
      </c>
      <c r="C541" t="s">
        <v>17</v>
      </c>
      <c r="D541" t="s">
        <v>51</v>
      </c>
      <c r="E541" t="s">
        <v>22</v>
      </c>
      <c r="F541" s="3">
        <v>9</v>
      </c>
      <c r="G541" s="4">
        <v>35444</v>
      </c>
      <c r="H541" s="4">
        <v>318996</v>
      </c>
      <c r="I541" s="4">
        <v>192099.13</v>
      </c>
      <c r="J541" s="4">
        <v>126896.87</v>
      </c>
      <c r="K541" t="s">
        <v>23</v>
      </c>
      <c r="L541" s="3">
        <f>(Table1[[#This Row],[Profit]]/Table1[[#This Row],[Sales_Amount]])*100</f>
        <v>39.780081881904472</v>
      </c>
      <c r="M541" s="4" t="str" cm="1">
        <f t="array" ref="M541">_xlfn.IFS(Table1[[#This Row],[Sales_Amount]]&gt;200000,"High",AND(Table1[[#This Row],[Sales_Amount]]&gt;100000,Table1[[#This Row],[Sales_Amount]]&lt;200000),"Medium",Table1[[#This Row],[Sales_Amount]]&lt;100000,"Low")</f>
        <v>High</v>
      </c>
      <c r="N541" t="str">
        <f>TEXT(Table1[[#This Row],[Order_Date]],"MMMM")</f>
        <v>December</v>
      </c>
      <c r="O541">
        <f>YEAR(Table1[[#This Row],[Order_Date]])</f>
        <v>2026</v>
      </c>
    </row>
    <row r="542" spans="1:15" x14ac:dyDescent="0.3">
      <c r="A542" t="s">
        <v>573</v>
      </c>
      <c r="B542" s="1">
        <v>46361</v>
      </c>
      <c r="C542" t="s">
        <v>28</v>
      </c>
      <c r="D542" t="s">
        <v>29</v>
      </c>
      <c r="E542" t="s">
        <v>37</v>
      </c>
      <c r="F542" s="3">
        <v>2</v>
      </c>
      <c r="G542" s="4">
        <v>13972</v>
      </c>
      <c r="H542" s="4">
        <v>27944</v>
      </c>
      <c r="I542" s="4">
        <v>21274.5</v>
      </c>
      <c r="J542" s="4">
        <v>6669.5</v>
      </c>
      <c r="K542" t="s">
        <v>23</v>
      </c>
      <c r="L542" s="3">
        <f>(Table1[[#This Row],[Profit]]/Table1[[#This Row],[Sales_Amount]])*100</f>
        <v>23.867377612367594</v>
      </c>
      <c r="M542" s="4" t="str" cm="1">
        <f t="array" ref="M542">_xlfn.IFS(Table1[[#This Row],[Sales_Amount]]&gt;200000,"High",AND(Table1[[#This Row],[Sales_Amount]]&gt;100000,Table1[[#This Row],[Sales_Amount]]&lt;200000),"Medium",Table1[[#This Row],[Sales_Amount]]&lt;100000,"Low")</f>
        <v>Low</v>
      </c>
      <c r="N542" t="str">
        <f>TEXT(Table1[[#This Row],[Order_Date]],"MMMM")</f>
        <v>December</v>
      </c>
      <c r="O542">
        <f>YEAR(Table1[[#This Row],[Order_Date]])</f>
        <v>2026</v>
      </c>
    </row>
    <row r="543" spans="1:15" x14ac:dyDescent="0.3">
      <c r="A543" t="s">
        <v>574</v>
      </c>
      <c r="B543" s="1">
        <v>46362</v>
      </c>
      <c r="C543" t="s">
        <v>17</v>
      </c>
      <c r="D543" t="s">
        <v>13</v>
      </c>
      <c r="E543" t="s">
        <v>37</v>
      </c>
      <c r="F543" s="3">
        <v>6</v>
      </c>
      <c r="G543" s="4">
        <v>2982</v>
      </c>
      <c r="H543" s="4">
        <v>17892</v>
      </c>
      <c r="I543" s="4">
        <v>11204.98</v>
      </c>
      <c r="J543" s="4">
        <v>6687.02</v>
      </c>
      <c r="K543" t="s">
        <v>26</v>
      </c>
      <c r="L543" s="3">
        <f>(Table1[[#This Row],[Profit]]/Table1[[#This Row],[Sales_Amount]])*100</f>
        <v>37.374357254638944</v>
      </c>
      <c r="M543" s="4" t="str" cm="1">
        <f t="array" ref="M543">_xlfn.IFS(Table1[[#This Row],[Sales_Amount]]&gt;200000,"High",AND(Table1[[#This Row],[Sales_Amount]]&gt;100000,Table1[[#This Row],[Sales_Amount]]&lt;200000),"Medium",Table1[[#This Row],[Sales_Amount]]&lt;100000,"Low")</f>
        <v>Low</v>
      </c>
      <c r="N543" t="str">
        <f>TEXT(Table1[[#This Row],[Order_Date]],"MMMM")</f>
        <v>December</v>
      </c>
      <c r="O543">
        <f>YEAR(Table1[[#This Row],[Order_Date]])</f>
        <v>2026</v>
      </c>
    </row>
    <row r="544" spans="1:15" x14ac:dyDescent="0.3">
      <c r="A544" t="s">
        <v>575</v>
      </c>
      <c r="B544" s="1">
        <v>46363</v>
      </c>
      <c r="C544" t="s">
        <v>28</v>
      </c>
      <c r="D544" t="s">
        <v>21</v>
      </c>
      <c r="E544" t="s">
        <v>14</v>
      </c>
      <c r="F544" s="3">
        <v>10</v>
      </c>
      <c r="G544" s="4">
        <v>15418</v>
      </c>
      <c r="H544" s="4">
        <v>154180</v>
      </c>
      <c r="I544" s="4">
        <v>134644.76999999999</v>
      </c>
      <c r="J544" s="4">
        <v>19535.23</v>
      </c>
      <c r="K544" t="s">
        <v>58</v>
      </c>
      <c r="L544" s="3">
        <f>(Table1[[#This Row],[Profit]]/Table1[[#This Row],[Sales_Amount]])*100</f>
        <v>12.670404721753794</v>
      </c>
      <c r="M544" s="4" t="str" cm="1">
        <f t="array" ref="M544">_xlfn.IFS(Table1[[#This Row],[Sales_Amount]]&gt;200000,"High",AND(Table1[[#This Row],[Sales_Amount]]&gt;100000,Table1[[#This Row],[Sales_Amount]]&lt;200000),"Medium",Table1[[#This Row],[Sales_Amount]]&lt;100000,"Low")</f>
        <v>Medium</v>
      </c>
      <c r="N544" t="str">
        <f>TEXT(Table1[[#This Row],[Order_Date]],"MMMM")</f>
        <v>December</v>
      </c>
      <c r="O544">
        <f>YEAR(Table1[[#This Row],[Order_Date]])</f>
        <v>2026</v>
      </c>
    </row>
    <row r="545" spans="1:15" x14ac:dyDescent="0.3">
      <c r="A545" t="s">
        <v>576</v>
      </c>
      <c r="B545" s="1">
        <v>46364</v>
      </c>
      <c r="C545" t="s">
        <v>17</v>
      </c>
      <c r="D545" t="s">
        <v>18</v>
      </c>
      <c r="E545" t="s">
        <v>37</v>
      </c>
      <c r="F545" s="3">
        <v>7</v>
      </c>
      <c r="G545" s="4">
        <v>21235</v>
      </c>
      <c r="H545" s="4">
        <v>148645</v>
      </c>
      <c r="I545" s="4">
        <v>89940.23</v>
      </c>
      <c r="J545" s="4">
        <v>58704.77</v>
      </c>
      <c r="K545" t="s">
        <v>15</v>
      </c>
      <c r="L545" s="3">
        <f>(Table1[[#This Row],[Profit]]/Table1[[#This Row],[Sales_Amount]])*100</f>
        <v>39.493269198425779</v>
      </c>
      <c r="M545" s="4" t="str" cm="1">
        <f t="array" ref="M545">_xlfn.IFS(Table1[[#This Row],[Sales_Amount]]&gt;200000,"High",AND(Table1[[#This Row],[Sales_Amount]]&gt;100000,Table1[[#This Row],[Sales_Amount]]&lt;200000),"Medium",Table1[[#This Row],[Sales_Amount]]&lt;100000,"Low")</f>
        <v>Medium</v>
      </c>
      <c r="N545" t="str">
        <f>TEXT(Table1[[#This Row],[Order_Date]],"MMMM")</f>
        <v>December</v>
      </c>
      <c r="O545">
        <f>YEAR(Table1[[#This Row],[Order_Date]])</f>
        <v>2026</v>
      </c>
    </row>
    <row r="546" spans="1:15" x14ac:dyDescent="0.3">
      <c r="A546" t="s">
        <v>577</v>
      </c>
      <c r="B546" s="1">
        <v>46365</v>
      </c>
      <c r="C546" t="s">
        <v>17</v>
      </c>
      <c r="D546" t="s">
        <v>44</v>
      </c>
      <c r="E546" t="s">
        <v>14</v>
      </c>
      <c r="F546" s="3">
        <v>2</v>
      </c>
      <c r="G546" s="4">
        <v>23942</v>
      </c>
      <c r="H546" s="4">
        <v>47884</v>
      </c>
      <c r="I546" s="4">
        <v>42061.99</v>
      </c>
      <c r="J546" s="4">
        <v>5822.01</v>
      </c>
      <c r="K546" t="s">
        <v>26</v>
      </c>
      <c r="L546" s="3">
        <f>(Table1[[#This Row],[Profit]]/Table1[[#This Row],[Sales_Amount]])*100</f>
        <v>12.158570712555344</v>
      </c>
      <c r="M546" s="4" t="str" cm="1">
        <f t="array" ref="M546">_xlfn.IFS(Table1[[#This Row],[Sales_Amount]]&gt;200000,"High",AND(Table1[[#This Row],[Sales_Amount]]&gt;100000,Table1[[#This Row],[Sales_Amount]]&lt;200000),"Medium",Table1[[#This Row],[Sales_Amount]]&lt;100000,"Low")</f>
        <v>Low</v>
      </c>
      <c r="N546" t="str">
        <f>TEXT(Table1[[#This Row],[Order_Date]],"MMMM")</f>
        <v>December</v>
      </c>
      <c r="O546">
        <f>YEAR(Table1[[#This Row],[Order_Date]])</f>
        <v>2026</v>
      </c>
    </row>
    <row r="547" spans="1:15" x14ac:dyDescent="0.3">
      <c r="A547" t="s">
        <v>578</v>
      </c>
      <c r="B547" s="1">
        <v>46366</v>
      </c>
      <c r="C547" t="s">
        <v>17</v>
      </c>
      <c r="D547" t="s">
        <v>56</v>
      </c>
      <c r="E547" t="s">
        <v>14</v>
      </c>
      <c r="F547" s="3">
        <v>5</v>
      </c>
      <c r="G547" s="4">
        <v>29183</v>
      </c>
      <c r="H547" s="4">
        <v>145915</v>
      </c>
      <c r="I547" s="4">
        <v>104245.19</v>
      </c>
      <c r="J547" s="4">
        <v>41669.81</v>
      </c>
      <c r="K547" t="s">
        <v>23</v>
      </c>
      <c r="L547" s="3">
        <f>(Table1[[#This Row],[Profit]]/Table1[[#This Row],[Sales_Amount]])*100</f>
        <v>28.557591748620769</v>
      </c>
      <c r="M547" s="4" t="str" cm="1">
        <f t="array" ref="M547">_xlfn.IFS(Table1[[#This Row],[Sales_Amount]]&gt;200000,"High",AND(Table1[[#This Row],[Sales_Amount]]&gt;100000,Table1[[#This Row],[Sales_Amount]]&lt;200000),"Medium",Table1[[#This Row],[Sales_Amount]]&lt;100000,"Low")</f>
        <v>Medium</v>
      </c>
      <c r="N547" t="str">
        <f>TEXT(Table1[[#This Row],[Order_Date]],"MMMM")</f>
        <v>December</v>
      </c>
      <c r="O547">
        <f>YEAR(Table1[[#This Row],[Order_Date]])</f>
        <v>2026</v>
      </c>
    </row>
    <row r="548" spans="1:15" x14ac:dyDescent="0.3">
      <c r="A548" t="s">
        <v>579</v>
      </c>
      <c r="B548" s="1">
        <v>46367</v>
      </c>
      <c r="C548" t="s">
        <v>40</v>
      </c>
      <c r="D548" t="s">
        <v>13</v>
      </c>
      <c r="E548" t="s">
        <v>22</v>
      </c>
      <c r="F548" s="3">
        <v>3</v>
      </c>
      <c r="G548" s="4">
        <v>49439</v>
      </c>
      <c r="H548" s="4">
        <v>148317</v>
      </c>
      <c r="I548" s="4">
        <v>106387.45</v>
      </c>
      <c r="J548" s="4">
        <v>41929.550000000003</v>
      </c>
      <c r="K548" t="s">
        <v>26</v>
      </c>
      <c r="L548" s="3">
        <f>(Table1[[#This Row],[Profit]]/Table1[[#This Row],[Sales_Amount]])*100</f>
        <v>28.270225260759052</v>
      </c>
      <c r="M548" s="4" t="str" cm="1">
        <f t="array" ref="M548">_xlfn.IFS(Table1[[#This Row],[Sales_Amount]]&gt;200000,"High",AND(Table1[[#This Row],[Sales_Amount]]&gt;100000,Table1[[#This Row],[Sales_Amount]]&lt;200000),"Medium",Table1[[#This Row],[Sales_Amount]]&lt;100000,"Low")</f>
        <v>Medium</v>
      </c>
      <c r="N548" t="str">
        <f>TEXT(Table1[[#This Row],[Order_Date]],"MMMM")</f>
        <v>December</v>
      </c>
      <c r="O548">
        <f>YEAR(Table1[[#This Row],[Order_Date]])</f>
        <v>2026</v>
      </c>
    </row>
    <row r="549" spans="1:15" x14ac:dyDescent="0.3">
      <c r="A549" t="s">
        <v>580</v>
      </c>
      <c r="B549" s="1">
        <v>46368</v>
      </c>
      <c r="C549" t="s">
        <v>12</v>
      </c>
      <c r="D549" t="s">
        <v>29</v>
      </c>
      <c r="E549" t="s">
        <v>19</v>
      </c>
      <c r="F549" s="3">
        <v>6</v>
      </c>
      <c r="G549" s="4">
        <v>1230</v>
      </c>
      <c r="H549" s="4">
        <v>7380</v>
      </c>
      <c r="I549" s="4">
        <v>5653.5</v>
      </c>
      <c r="J549" s="4">
        <v>1726.5</v>
      </c>
      <c r="K549" t="s">
        <v>15</v>
      </c>
      <c r="L549" s="3">
        <f>(Table1[[#This Row],[Profit]]/Table1[[#This Row],[Sales_Amount]])*100</f>
        <v>23.394308943089431</v>
      </c>
      <c r="M549" s="4" t="str" cm="1">
        <f t="array" ref="M549">_xlfn.IFS(Table1[[#This Row],[Sales_Amount]]&gt;200000,"High",AND(Table1[[#This Row],[Sales_Amount]]&gt;100000,Table1[[#This Row],[Sales_Amount]]&lt;200000),"Medium",Table1[[#This Row],[Sales_Amount]]&lt;100000,"Low")</f>
        <v>Low</v>
      </c>
      <c r="N549" t="str">
        <f>TEXT(Table1[[#This Row],[Order_Date]],"MMMM")</f>
        <v>December</v>
      </c>
      <c r="O549">
        <f>YEAR(Table1[[#This Row],[Order_Date]])</f>
        <v>2026</v>
      </c>
    </row>
    <row r="550" spans="1:15" x14ac:dyDescent="0.3">
      <c r="A550" t="s">
        <v>581</v>
      </c>
      <c r="B550" s="1">
        <v>46369</v>
      </c>
      <c r="C550" t="s">
        <v>17</v>
      </c>
      <c r="D550" t="s">
        <v>44</v>
      </c>
      <c r="E550" t="s">
        <v>25</v>
      </c>
      <c r="F550" s="3">
        <v>10</v>
      </c>
      <c r="G550" s="4">
        <v>26326</v>
      </c>
      <c r="H550" s="4">
        <v>263260</v>
      </c>
      <c r="I550" s="4">
        <v>200379.19</v>
      </c>
      <c r="J550" s="4">
        <v>62880.81</v>
      </c>
      <c r="K550" t="s">
        <v>23</v>
      </c>
      <c r="L550" s="3">
        <f>(Table1[[#This Row],[Profit]]/Table1[[#This Row],[Sales_Amount]])*100</f>
        <v>23.885440249183315</v>
      </c>
      <c r="M550" s="4" t="str" cm="1">
        <f t="array" ref="M550">_xlfn.IFS(Table1[[#This Row],[Sales_Amount]]&gt;200000,"High",AND(Table1[[#This Row],[Sales_Amount]]&gt;100000,Table1[[#This Row],[Sales_Amount]]&lt;200000),"Medium",Table1[[#This Row],[Sales_Amount]]&lt;100000,"Low")</f>
        <v>High</v>
      </c>
      <c r="N550" t="str">
        <f>TEXT(Table1[[#This Row],[Order_Date]],"MMMM")</f>
        <v>December</v>
      </c>
      <c r="O550">
        <f>YEAR(Table1[[#This Row],[Order_Date]])</f>
        <v>2026</v>
      </c>
    </row>
    <row r="551" spans="1:15" x14ac:dyDescent="0.3">
      <c r="A551" t="s">
        <v>582</v>
      </c>
      <c r="B551" s="1">
        <v>46370</v>
      </c>
      <c r="C551" t="s">
        <v>12</v>
      </c>
      <c r="D551" t="s">
        <v>13</v>
      </c>
      <c r="E551" t="s">
        <v>22</v>
      </c>
      <c r="F551" s="3">
        <v>7</v>
      </c>
      <c r="G551" s="4">
        <v>42831</v>
      </c>
      <c r="H551" s="4">
        <v>299817</v>
      </c>
      <c r="I551" s="4">
        <v>256474.75</v>
      </c>
      <c r="J551" s="4">
        <v>43342.25</v>
      </c>
      <c r="K551" t="s">
        <v>23</v>
      </c>
      <c r="L551" s="3">
        <f>(Table1[[#This Row],[Profit]]/Table1[[#This Row],[Sales_Amount]])*100</f>
        <v>14.456234969998366</v>
      </c>
      <c r="M551" s="4" t="str" cm="1">
        <f t="array" ref="M551">_xlfn.IFS(Table1[[#This Row],[Sales_Amount]]&gt;200000,"High",AND(Table1[[#This Row],[Sales_Amount]]&gt;100000,Table1[[#This Row],[Sales_Amount]]&lt;200000),"Medium",Table1[[#This Row],[Sales_Amount]]&lt;100000,"Low")</f>
        <v>High</v>
      </c>
      <c r="N551" t="str">
        <f>TEXT(Table1[[#This Row],[Order_Date]],"MMMM")</f>
        <v>December</v>
      </c>
      <c r="O551">
        <f>YEAR(Table1[[#This Row],[Order_Date]])</f>
        <v>2026</v>
      </c>
    </row>
    <row r="552" spans="1:15" x14ac:dyDescent="0.3">
      <c r="A552" t="s">
        <v>583</v>
      </c>
      <c r="B552" s="1">
        <v>46371</v>
      </c>
      <c r="C552" t="s">
        <v>17</v>
      </c>
      <c r="D552" t="s">
        <v>56</v>
      </c>
      <c r="E552" t="s">
        <v>25</v>
      </c>
      <c r="F552" s="3">
        <v>5</v>
      </c>
      <c r="G552" s="4">
        <v>13235</v>
      </c>
      <c r="H552" s="4">
        <v>66175</v>
      </c>
      <c r="I552" s="4">
        <v>41980.54</v>
      </c>
      <c r="J552" s="4">
        <v>24194.46</v>
      </c>
      <c r="K552" t="s">
        <v>15</v>
      </c>
      <c r="L552" s="3">
        <f>(Table1[[#This Row],[Profit]]/Table1[[#This Row],[Sales_Amount]])*100</f>
        <v>36.561329807329052</v>
      </c>
      <c r="M552" s="4" t="str" cm="1">
        <f t="array" ref="M552">_xlfn.IFS(Table1[[#This Row],[Sales_Amount]]&gt;200000,"High",AND(Table1[[#This Row],[Sales_Amount]]&gt;100000,Table1[[#This Row],[Sales_Amount]]&lt;200000),"Medium",Table1[[#This Row],[Sales_Amount]]&lt;100000,"Low")</f>
        <v>Low</v>
      </c>
      <c r="N552" t="str">
        <f>TEXT(Table1[[#This Row],[Order_Date]],"MMMM")</f>
        <v>December</v>
      </c>
      <c r="O552">
        <f>YEAR(Table1[[#This Row],[Order_Date]])</f>
        <v>2026</v>
      </c>
    </row>
    <row r="553" spans="1:15" x14ac:dyDescent="0.3">
      <c r="A553" t="s">
        <v>584</v>
      </c>
      <c r="B553" s="1">
        <v>46372</v>
      </c>
      <c r="C553" t="s">
        <v>28</v>
      </c>
      <c r="D553" t="s">
        <v>34</v>
      </c>
      <c r="E553" t="s">
        <v>19</v>
      </c>
      <c r="F553" s="3">
        <v>2</v>
      </c>
      <c r="G553" s="4">
        <v>16929</v>
      </c>
      <c r="H553" s="4">
        <v>33858</v>
      </c>
      <c r="I553" s="4">
        <v>21312.28</v>
      </c>
      <c r="J553" s="4">
        <v>12545.72</v>
      </c>
      <c r="K553" t="s">
        <v>26</v>
      </c>
      <c r="L553" s="3">
        <f>(Table1[[#This Row],[Profit]]/Table1[[#This Row],[Sales_Amount]])*100</f>
        <v>37.053931124106562</v>
      </c>
      <c r="M553" s="4" t="str" cm="1">
        <f t="array" ref="M553">_xlfn.IFS(Table1[[#This Row],[Sales_Amount]]&gt;200000,"High",AND(Table1[[#This Row],[Sales_Amount]]&gt;100000,Table1[[#This Row],[Sales_Amount]]&lt;200000),"Medium",Table1[[#This Row],[Sales_Amount]]&lt;100000,"Low")</f>
        <v>Low</v>
      </c>
      <c r="N553" t="str">
        <f>TEXT(Table1[[#This Row],[Order_Date]],"MMMM")</f>
        <v>December</v>
      </c>
      <c r="O553">
        <f>YEAR(Table1[[#This Row],[Order_Date]])</f>
        <v>2026</v>
      </c>
    </row>
    <row r="554" spans="1:15" x14ac:dyDescent="0.3">
      <c r="A554" t="s">
        <v>585</v>
      </c>
      <c r="B554" s="1">
        <v>46373</v>
      </c>
      <c r="C554" t="s">
        <v>17</v>
      </c>
      <c r="D554" t="s">
        <v>51</v>
      </c>
      <c r="E554" t="s">
        <v>19</v>
      </c>
      <c r="F554" s="3">
        <v>4</v>
      </c>
      <c r="G554" s="4">
        <v>7056</v>
      </c>
      <c r="H554" s="4">
        <v>28224</v>
      </c>
      <c r="I554" s="4">
        <v>19348.71</v>
      </c>
      <c r="J554" s="4">
        <v>8875.2900000000009</v>
      </c>
      <c r="K554" t="s">
        <v>26</v>
      </c>
      <c r="L554" s="3">
        <f>(Table1[[#This Row],[Profit]]/Table1[[#This Row],[Sales_Amount]])*100</f>
        <v>31.445897108843539</v>
      </c>
      <c r="M554" s="4" t="str" cm="1">
        <f t="array" ref="M554">_xlfn.IFS(Table1[[#This Row],[Sales_Amount]]&gt;200000,"High",AND(Table1[[#This Row],[Sales_Amount]]&gt;100000,Table1[[#This Row],[Sales_Amount]]&lt;200000),"Medium",Table1[[#This Row],[Sales_Amount]]&lt;100000,"Low")</f>
        <v>Low</v>
      </c>
      <c r="N554" t="str">
        <f>TEXT(Table1[[#This Row],[Order_Date]],"MMMM")</f>
        <v>December</v>
      </c>
      <c r="O554">
        <f>YEAR(Table1[[#This Row],[Order_Date]])</f>
        <v>2026</v>
      </c>
    </row>
    <row r="555" spans="1:15" x14ac:dyDescent="0.3">
      <c r="A555" t="s">
        <v>586</v>
      </c>
      <c r="B555" s="1">
        <v>46374</v>
      </c>
      <c r="C555" t="s">
        <v>12</v>
      </c>
      <c r="D555" t="s">
        <v>34</v>
      </c>
      <c r="E555" t="s">
        <v>37</v>
      </c>
      <c r="F555" s="3">
        <v>6</v>
      </c>
      <c r="G555" s="4">
        <v>40892</v>
      </c>
      <c r="H555" s="4">
        <v>245352</v>
      </c>
      <c r="I555" s="4">
        <v>195748.37</v>
      </c>
      <c r="J555" s="4">
        <v>49603.63</v>
      </c>
      <c r="K555" t="s">
        <v>26</v>
      </c>
      <c r="L555" s="3">
        <f>(Table1[[#This Row],[Profit]]/Table1[[#This Row],[Sales_Amount]])*100</f>
        <v>20.217332648602824</v>
      </c>
      <c r="M555" s="4" t="str" cm="1">
        <f t="array" ref="M555">_xlfn.IFS(Table1[[#This Row],[Sales_Amount]]&gt;200000,"High",AND(Table1[[#This Row],[Sales_Amount]]&gt;100000,Table1[[#This Row],[Sales_Amount]]&lt;200000),"Medium",Table1[[#This Row],[Sales_Amount]]&lt;100000,"Low")</f>
        <v>High</v>
      </c>
      <c r="N555" t="str">
        <f>TEXT(Table1[[#This Row],[Order_Date]],"MMMM")</f>
        <v>December</v>
      </c>
      <c r="O555">
        <f>YEAR(Table1[[#This Row],[Order_Date]])</f>
        <v>2026</v>
      </c>
    </row>
    <row r="556" spans="1:15" x14ac:dyDescent="0.3">
      <c r="A556" t="s">
        <v>587</v>
      </c>
      <c r="B556" s="1">
        <v>46375</v>
      </c>
      <c r="C556" t="s">
        <v>12</v>
      </c>
      <c r="D556" t="s">
        <v>21</v>
      </c>
      <c r="E556" t="s">
        <v>22</v>
      </c>
      <c r="F556" s="3">
        <v>1</v>
      </c>
      <c r="G556" s="4">
        <v>21026</v>
      </c>
      <c r="H556" s="4">
        <v>21026</v>
      </c>
      <c r="I556" s="4">
        <v>14168.42</v>
      </c>
      <c r="J556" s="4">
        <v>6857.58</v>
      </c>
      <c r="K556" t="s">
        <v>26</v>
      </c>
      <c r="L556" s="3">
        <f>(Table1[[#This Row],[Profit]]/Table1[[#This Row],[Sales_Amount]])*100</f>
        <v>32.614762674783599</v>
      </c>
      <c r="M556" s="4" t="str" cm="1">
        <f t="array" ref="M556">_xlfn.IFS(Table1[[#This Row],[Sales_Amount]]&gt;200000,"High",AND(Table1[[#This Row],[Sales_Amount]]&gt;100000,Table1[[#This Row],[Sales_Amount]]&lt;200000),"Medium",Table1[[#This Row],[Sales_Amount]]&lt;100000,"Low")</f>
        <v>Low</v>
      </c>
      <c r="N556" t="str">
        <f>TEXT(Table1[[#This Row],[Order_Date]],"MMMM")</f>
        <v>December</v>
      </c>
      <c r="O556">
        <f>YEAR(Table1[[#This Row],[Order_Date]])</f>
        <v>2026</v>
      </c>
    </row>
    <row r="557" spans="1:15" x14ac:dyDescent="0.3">
      <c r="A557" t="s">
        <v>588</v>
      </c>
      <c r="B557" s="1">
        <v>46376</v>
      </c>
      <c r="C557" t="s">
        <v>40</v>
      </c>
      <c r="D557" t="s">
        <v>44</v>
      </c>
      <c r="E557" t="s">
        <v>22</v>
      </c>
      <c r="F557" s="3">
        <v>6</v>
      </c>
      <c r="G557" s="4">
        <v>31954</v>
      </c>
      <c r="H557" s="4">
        <v>191724</v>
      </c>
      <c r="I557" s="4">
        <v>141656.14000000001</v>
      </c>
      <c r="J557" s="4">
        <v>50067.86</v>
      </c>
      <c r="K557" t="s">
        <v>58</v>
      </c>
      <c r="L557" s="3">
        <f>(Table1[[#This Row],[Profit]]/Table1[[#This Row],[Sales_Amount]])*100</f>
        <v>26.114550082410133</v>
      </c>
      <c r="M557" s="4" t="str" cm="1">
        <f t="array" ref="M557">_xlfn.IFS(Table1[[#This Row],[Sales_Amount]]&gt;200000,"High",AND(Table1[[#This Row],[Sales_Amount]]&gt;100000,Table1[[#This Row],[Sales_Amount]]&lt;200000),"Medium",Table1[[#This Row],[Sales_Amount]]&lt;100000,"Low")</f>
        <v>Medium</v>
      </c>
      <c r="N557" t="str">
        <f>TEXT(Table1[[#This Row],[Order_Date]],"MMMM")</f>
        <v>December</v>
      </c>
      <c r="O557">
        <f>YEAR(Table1[[#This Row],[Order_Date]])</f>
        <v>2026</v>
      </c>
    </row>
    <row r="558" spans="1:15" x14ac:dyDescent="0.3">
      <c r="A558" t="s">
        <v>589</v>
      </c>
      <c r="B558" s="1">
        <v>46377</v>
      </c>
      <c r="C558" t="s">
        <v>40</v>
      </c>
      <c r="D558" t="s">
        <v>13</v>
      </c>
      <c r="E558" t="s">
        <v>14</v>
      </c>
      <c r="F558" s="3">
        <v>3</v>
      </c>
      <c r="G558" s="4">
        <v>42806</v>
      </c>
      <c r="H558" s="4">
        <v>128418</v>
      </c>
      <c r="I558" s="4">
        <v>100421.37</v>
      </c>
      <c r="J558" s="4">
        <v>27996.63</v>
      </c>
      <c r="K558" t="s">
        <v>23</v>
      </c>
      <c r="L558" s="3">
        <f>(Table1[[#This Row],[Profit]]/Table1[[#This Row],[Sales_Amount]])*100</f>
        <v>21.80117273279447</v>
      </c>
      <c r="M558" s="4" t="str" cm="1">
        <f t="array" ref="M558">_xlfn.IFS(Table1[[#This Row],[Sales_Amount]]&gt;200000,"High",AND(Table1[[#This Row],[Sales_Amount]]&gt;100000,Table1[[#This Row],[Sales_Amount]]&lt;200000),"Medium",Table1[[#This Row],[Sales_Amount]]&lt;100000,"Low")</f>
        <v>Medium</v>
      </c>
      <c r="N558" t="str">
        <f>TEXT(Table1[[#This Row],[Order_Date]],"MMMM")</f>
        <v>December</v>
      </c>
      <c r="O558">
        <f>YEAR(Table1[[#This Row],[Order_Date]])</f>
        <v>2026</v>
      </c>
    </row>
    <row r="559" spans="1:15" x14ac:dyDescent="0.3">
      <c r="A559" t="s">
        <v>590</v>
      </c>
      <c r="B559" s="1">
        <v>46378</v>
      </c>
      <c r="C559" t="s">
        <v>17</v>
      </c>
      <c r="D559" t="s">
        <v>18</v>
      </c>
      <c r="E559" t="s">
        <v>19</v>
      </c>
      <c r="F559" s="3">
        <v>2</v>
      </c>
      <c r="G559" s="4">
        <v>48172</v>
      </c>
      <c r="H559" s="4">
        <v>96344</v>
      </c>
      <c r="I559" s="4">
        <v>59985.7</v>
      </c>
      <c r="J559" s="4">
        <v>36358.300000000003</v>
      </c>
      <c r="K559" t="s">
        <v>58</v>
      </c>
      <c r="L559" s="3">
        <f>(Table1[[#This Row],[Profit]]/Table1[[#This Row],[Sales_Amount]])*100</f>
        <v>37.738001328572615</v>
      </c>
      <c r="M559" s="4" t="str" cm="1">
        <f t="array" ref="M559">_xlfn.IFS(Table1[[#This Row],[Sales_Amount]]&gt;200000,"High",AND(Table1[[#This Row],[Sales_Amount]]&gt;100000,Table1[[#This Row],[Sales_Amount]]&lt;200000),"Medium",Table1[[#This Row],[Sales_Amount]]&lt;100000,"Low")</f>
        <v>Low</v>
      </c>
      <c r="N559" t="str">
        <f>TEXT(Table1[[#This Row],[Order_Date]],"MMMM")</f>
        <v>December</v>
      </c>
      <c r="O559">
        <f>YEAR(Table1[[#This Row],[Order_Date]])</f>
        <v>2026</v>
      </c>
    </row>
    <row r="560" spans="1:15" x14ac:dyDescent="0.3">
      <c r="A560" t="s">
        <v>591</v>
      </c>
      <c r="B560" s="1">
        <v>46379</v>
      </c>
      <c r="C560" t="s">
        <v>28</v>
      </c>
      <c r="D560" t="s">
        <v>13</v>
      </c>
      <c r="E560" t="s">
        <v>22</v>
      </c>
      <c r="F560" s="3">
        <v>1</v>
      </c>
      <c r="G560" s="4">
        <v>36649</v>
      </c>
      <c r="H560" s="4">
        <v>36649</v>
      </c>
      <c r="I560" s="4">
        <v>24854.799999999999</v>
      </c>
      <c r="J560" s="4">
        <v>11794.2</v>
      </c>
      <c r="K560" t="s">
        <v>26</v>
      </c>
      <c r="L560" s="3">
        <f>(Table1[[#This Row],[Profit]]/Table1[[#This Row],[Sales_Amount]])*100</f>
        <v>32.181505634533004</v>
      </c>
      <c r="M560" s="4" t="str" cm="1">
        <f t="array" ref="M560">_xlfn.IFS(Table1[[#This Row],[Sales_Amount]]&gt;200000,"High",AND(Table1[[#This Row],[Sales_Amount]]&gt;100000,Table1[[#This Row],[Sales_Amount]]&lt;200000),"Medium",Table1[[#This Row],[Sales_Amount]]&lt;100000,"Low")</f>
        <v>Low</v>
      </c>
      <c r="N560" t="str">
        <f>TEXT(Table1[[#This Row],[Order_Date]],"MMMM")</f>
        <v>December</v>
      </c>
      <c r="O560">
        <f>YEAR(Table1[[#This Row],[Order_Date]])</f>
        <v>2026</v>
      </c>
    </row>
    <row r="561" spans="1:15" x14ac:dyDescent="0.3">
      <c r="A561" t="s">
        <v>592</v>
      </c>
      <c r="B561" s="1">
        <v>46380</v>
      </c>
      <c r="C561" t="s">
        <v>12</v>
      </c>
      <c r="D561" t="s">
        <v>56</v>
      </c>
      <c r="E561" t="s">
        <v>22</v>
      </c>
      <c r="F561" s="3">
        <v>10</v>
      </c>
      <c r="G561" s="4">
        <v>48552</v>
      </c>
      <c r="H561" s="4">
        <v>485520</v>
      </c>
      <c r="I561" s="4">
        <v>416163.1</v>
      </c>
      <c r="J561" s="4">
        <v>69356.899999999994</v>
      </c>
      <c r="K561" t="s">
        <v>15</v>
      </c>
      <c r="L561" s="3">
        <f>(Table1[[#This Row],[Profit]]/Table1[[#This Row],[Sales_Amount]])*100</f>
        <v>14.285075795023891</v>
      </c>
      <c r="M561" s="4" t="str" cm="1">
        <f t="array" ref="M561">_xlfn.IFS(Table1[[#This Row],[Sales_Amount]]&gt;200000,"High",AND(Table1[[#This Row],[Sales_Amount]]&gt;100000,Table1[[#This Row],[Sales_Amount]]&lt;200000),"Medium",Table1[[#This Row],[Sales_Amount]]&lt;100000,"Low")</f>
        <v>High</v>
      </c>
      <c r="N561" t="str">
        <f>TEXT(Table1[[#This Row],[Order_Date]],"MMMM")</f>
        <v>December</v>
      </c>
      <c r="O561">
        <f>YEAR(Table1[[#This Row],[Order_Date]])</f>
        <v>2026</v>
      </c>
    </row>
    <row r="562" spans="1:15" x14ac:dyDescent="0.3">
      <c r="A562" t="s">
        <v>593</v>
      </c>
      <c r="B562" s="1">
        <v>46381</v>
      </c>
      <c r="C562" t="s">
        <v>12</v>
      </c>
      <c r="D562" t="s">
        <v>13</v>
      </c>
      <c r="E562" t="s">
        <v>32</v>
      </c>
      <c r="F562" s="3">
        <v>9</v>
      </c>
      <c r="G562" s="4">
        <v>1194</v>
      </c>
      <c r="H562" s="4">
        <v>10746</v>
      </c>
      <c r="I562" s="4">
        <v>8583.94</v>
      </c>
      <c r="J562" s="4">
        <v>2162.06</v>
      </c>
      <c r="K562" t="s">
        <v>58</v>
      </c>
      <c r="L562" s="3">
        <f>(Table1[[#This Row],[Profit]]/Table1[[#This Row],[Sales_Amount]])*100</f>
        <v>20.11967243625535</v>
      </c>
      <c r="M562" s="4" t="str" cm="1">
        <f t="array" ref="M562">_xlfn.IFS(Table1[[#This Row],[Sales_Amount]]&gt;200000,"High",AND(Table1[[#This Row],[Sales_Amount]]&gt;100000,Table1[[#This Row],[Sales_Amount]]&lt;200000),"Medium",Table1[[#This Row],[Sales_Amount]]&lt;100000,"Low")</f>
        <v>Low</v>
      </c>
      <c r="N562" t="str">
        <f>TEXT(Table1[[#This Row],[Order_Date]],"MMMM")</f>
        <v>December</v>
      </c>
      <c r="O562">
        <f>YEAR(Table1[[#This Row],[Order_Date]])</f>
        <v>2026</v>
      </c>
    </row>
    <row r="563" spans="1:15" x14ac:dyDescent="0.3">
      <c r="A563" t="s">
        <v>594</v>
      </c>
      <c r="B563" s="1">
        <v>46382</v>
      </c>
      <c r="C563" t="s">
        <v>12</v>
      </c>
      <c r="D563" t="s">
        <v>56</v>
      </c>
      <c r="E563" t="s">
        <v>22</v>
      </c>
      <c r="F563" s="3">
        <v>10</v>
      </c>
      <c r="G563" s="4">
        <v>37581</v>
      </c>
      <c r="H563" s="4">
        <v>375810</v>
      </c>
      <c r="I563" s="4">
        <v>299830.23</v>
      </c>
      <c r="J563" s="4">
        <v>75979.77</v>
      </c>
      <c r="K563" t="s">
        <v>26</v>
      </c>
      <c r="L563" s="3">
        <f>(Table1[[#This Row],[Profit]]/Table1[[#This Row],[Sales_Amount]])*100</f>
        <v>20.217601979723799</v>
      </c>
      <c r="M563" s="4" t="str" cm="1">
        <f t="array" ref="M563">_xlfn.IFS(Table1[[#This Row],[Sales_Amount]]&gt;200000,"High",AND(Table1[[#This Row],[Sales_Amount]]&gt;100000,Table1[[#This Row],[Sales_Amount]]&lt;200000),"Medium",Table1[[#This Row],[Sales_Amount]]&lt;100000,"Low")</f>
        <v>High</v>
      </c>
      <c r="N563" t="str">
        <f>TEXT(Table1[[#This Row],[Order_Date]],"MMMM")</f>
        <v>December</v>
      </c>
      <c r="O563">
        <f>YEAR(Table1[[#This Row],[Order_Date]])</f>
        <v>2026</v>
      </c>
    </row>
    <row r="564" spans="1:15" x14ac:dyDescent="0.3">
      <c r="A564" t="s">
        <v>595</v>
      </c>
      <c r="B564" s="1">
        <v>46383</v>
      </c>
      <c r="C564" t="s">
        <v>40</v>
      </c>
      <c r="D564" t="s">
        <v>51</v>
      </c>
      <c r="E564" t="s">
        <v>22</v>
      </c>
      <c r="F564" s="3">
        <v>8</v>
      </c>
      <c r="G564" s="4">
        <v>15687</v>
      </c>
      <c r="H564" s="4">
        <v>125496</v>
      </c>
      <c r="I564" s="4">
        <v>77664.25</v>
      </c>
      <c r="J564" s="4">
        <v>47831.75</v>
      </c>
      <c r="K564" t="s">
        <v>15</v>
      </c>
      <c r="L564" s="3">
        <f>(Table1[[#This Row],[Profit]]/Table1[[#This Row],[Sales_Amount]])*100</f>
        <v>38.114163001211196</v>
      </c>
      <c r="M564" s="4" t="str" cm="1">
        <f t="array" ref="M564">_xlfn.IFS(Table1[[#This Row],[Sales_Amount]]&gt;200000,"High",AND(Table1[[#This Row],[Sales_Amount]]&gt;100000,Table1[[#This Row],[Sales_Amount]]&lt;200000),"Medium",Table1[[#This Row],[Sales_Amount]]&lt;100000,"Low")</f>
        <v>Medium</v>
      </c>
      <c r="N564" t="str">
        <f>TEXT(Table1[[#This Row],[Order_Date]],"MMMM")</f>
        <v>December</v>
      </c>
      <c r="O564">
        <f>YEAR(Table1[[#This Row],[Order_Date]])</f>
        <v>2026</v>
      </c>
    </row>
    <row r="565" spans="1:15" x14ac:dyDescent="0.3">
      <c r="A565" t="s">
        <v>596</v>
      </c>
      <c r="B565" s="1">
        <v>46384</v>
      </c>
      <c r="C565" t="s">
        <v>28</v>
      </c>
      <c r="D565" t="s">
        <v>18</v>
      </c>
      <c r="E565" t="s">
        <v>22</v>
      </c>
      <c r="F565" s="3">
        <v>9</v>
      </c>
      <c r="G565" s="4">
        <v>24174</v>
      </c>
      <c r="H565" s="4">
        <v>217566</v>
      </c>
      <c r="I565" s="4">
        <v>155870.35999999999</v>
      </c>
      <c r="J565" s="4">
        <v>61695.64</v>
      </c>
      <c r="K565" t="s">
        <v>15</v>
      </c>
      <c r="L565" s="3">
        <f>(Table1[[#This Row],[Profit]]/Table1[[#This Row],[Sales_Amount]])*100</f>
        <v>28.35720654881737</v>
      </c>
      <c r="M565" s="4" t="str" cm="1">
        <f t="array" ref="M565">_xlfn.IFS(Table1[[#This Row],[Sales_Amount]]&gt;200000,"High",AND(Table1[[#This Row],[Sales_Amount]]&gt;100000,Table1[[#This Row],[Sales_Amount]]&lt;200000),"Medium",Table1[[#This Row],[Sales_Amount]]&lt;100000,"Low")</f>
        <v>High</v>
      </c>
      <c r="N565" t="str">
        <f>TEXT(Table1[[#This Row],[Order_Date]],"MMMM")</f>
        <v>December</v>
      </c>
      <c r="O565">
        <f>YEAR(Table1[[#This Row],[Order_Date]])</f>
        <v>2026</v>
      </c>
    </row>
    <row r="566" spans="1:15" x14ac:dyDescent="0.3">
      <c r="A566" t="s">
        <v>597</v>
      </c>
      <c r="B566" s="1">
        <v>46385</v>
      </c>
      <c r="C566" t="s">
        <v>40</v>
      </c>
      <c r="D566" t="s">
        <v>44</v>
      </c>
      <c r="E566" t="s">
        <v>32</v>
      </c>
      <c r="F566" s="3">
        <v>2</v>
      </c>
      <c r="G566" s="4">
        <v>46620</v>
      </c>
      <c r="H566" s="4">
        <v>93240</v>
      </c>
      <c r="I566" s="4">
        <v>83033.240000000005</v>
      </c>
      <c r="J566" s="4">
        <v>10206.76</v>
      </c>
      <c r="K566" t="s">
        <v>23</v>
      </c>
      <c r="L566" s="3">
        <f>(Table1[[#This Row],[Profit]]/Table1[[#This Row],[Sales_Amount]])*100</f>
        <v>10.946761046761047</v>
      </c>
      <c r="M566" s="4" t="str" cm="1">
        <f t="array" ref="M566">_xlfn.IFS(Table1[[#This Row],[Sales_Amount]]&gt;200000,"High",AND(Table1[[#This Row],[Sales_Amount]]&gt;100000,Table1[[#This Row],[Sales_Amount]]&lt;200000),"Medium",Table1[[#This Row],[Sales_Amount]]&lt;100000,"Low")</f>
        <v>Low</v>
      </c>
      <c r="N566" t="str">
        <f>TEXT(Table1[[#This Row],[Order_Date]],"MMMM")</f>
        <v>December</v>
      </c>
      <c r="O566">
        <f>YEAR(Table1[[#This Row],[Order_Date]])</f>
        <v>2026</v>
      </c>
    </row>
    <row r="567" spans="1:15" x14ac:dyDescent="0.3">
      <c r="A567" t="s">
        <v>598</v>
      </c>
      <c r="B567" s="1">
        <v>46386</v>
      </c>
      <c r="C567" t="s">
        <v>17</v>
      </c>
      <c r="D567" t="s">
        <v>44</v>
      </c>
      <c r="E567" t="s">
        <v>19</v>
      </c>
      <c r="F567" s="3">
        <v>7</v>
      </c>
      <c r="G567" s="4">
        <v>24440</v>
      </c>
      <c r="H567" s="4">
        <v>171080</v>
      </c>
      <c r="I567" s="4">
        <v>132810.03</v>
      </c>
      <c r="J567" s="4">
        <v>38269.97</v>
      </c>
      <c r="K567" t="s">
        <v>58</v>
      </c>
      <c r="L567" s="3">
        <f>(Table1[[#This Row],[Profit]]/Table1[[#This Row],[Sales_Amount]])*100</f>
        <v>22.369634089314943</v>
      </c>
      <c r="M567" s="4" t="str" cm="1">
        <f t="array" ref="M567">_xlfn.IFS(Table1[[#This Row],[Sales_Amount]]&gt;200000,"High",AND(Table1[[#This Row],[Sales_Amount]]&gt;100000,Table1[[#This Row],[Sales_Amount]]&lt;200000),"Medium",Table1[[#This Row],[Sales_Amount]]&lt;100000,"Low")</f>
        <v>Medium</v>
      </c>
      <c r="N567" t="str">
        <f>TEXT(Table1[[#This Row],[Order_Date]],"MMMM")</f>
        <v>December</v>
      </c>
      <c r="O567">
        <f>YEAR(Table1[[#This Row],[Order_Date]])</f>
        <v>2026</v>
      </c>
    </row>
    <row r="568" spans="1:15" x14ac:dyDescent="0.3">
      <c r="A568" t="s">
        <v>599</v>
      </c>
      <c r="B568" s="1">
        <v>46387</v>
      </c>
      <c r="C568" t="s">
        <v>40</v>
      </c>
      <c r="D568" t="s">
        <v>56</v>
      </c>
      <c r="E568" t="s">
        <v>25</v>
      </c>
      <c r="F568" s="3">
        <v>7</v>
      </c>
      <c r="G568" s="4">
        <v>23627</v>
      </c>
      <c r="H568" s="4">
        <v>165389</v>
      </c>
      <c r="I568" s="4">
        <v>139781.99</v>
      </c>
      <c r="J568" s="4">
        <v>25607.01</v>
      </c>
      <c r="K568" t="s">
        <v>58</v>
      </c>
      <c r="L568" s="3">
        <f>(Table1[[#This Row],[Profit]]/Table1[[#This Row],[Sales_Amount]])*100</f>
        <v>15.482897895265102</v>
      </c>
      <c r="M568" s="4" t="str" cm="1">
        <f t="array" ref="M568">_xlfn.IFS(Table1[[#This Row],[Sales_Amount]]&gt;200000,"High",AND(Table1[[#This Row],[Sales_Amount]]&gt;100000,Table1[[#This Row],[Sales_Amount]]&lt;200000),"Medium",Table1[[#This Row],[Sales_Amount]]&lt;100000,"Low")</f>
        <v>Medium</v>
      </c>
      <c r="N568" t="str">
        <f>TEXT(Table1[[#This Row],[Order_Date]],"MMMM")</f>
        <v>December</v>
      </c>
      <c r="O568">
        <f>YEAR(Table1[[#This Row],[Order_Date]])</f>
        <v>2026</v>
      </c>
    </row>
    <row r="569" spans="1:15" x14ac:dyDescent="0.3">
      <c r="A569" t="s">
        <v>600</v>
      </c>
      <c r="B569" s="1">
        <v>46388</v>
      </c>
      <c r="C569" t="s">
        <v>12</v>
      </c>
      <c r="D569" t="s">
        <v>29</v>
      </c>
      <c r="E569" t="s">
        <v>14</v>
      </c>
      <c r="F569" s="3">
        <v>9</v>
      </c>
      <c r="G569" s="4">
        <v>9607</v>
      </c>
      <c r="H569" s="4">
        <v>86463</v>
      </c>
      <c r="I569" s="4">
        <v>63288.29</v>
      </c>
      <c r="J569" s="4">
        <v>23174.71</v>
      </c>
      <c r="K569" t="s">
        <v>26</v>
      </c>
      <c r="L569" s="3">
        <f>(Table1[[#This Row],[Profit]]/Table1[[#This Row],[Sales_Amount]])*100</f>
        <v>26.80303713727259</v>
      </c>
      <c r="M569" s="4" t="str" cm="1">
        <f t="array" ref="M569">_xlfn.IFS(Table1[[#This Row],[Sales_Amount]]&gt;200000,"High",AND(Table1[[#This Row],[Sales_Amount]]&gt;100000,Table1[[#This Row],[Sales_Amount]]&lt;200000),"Medium",Table1[[#This Row],[Sales_Amount]]&lt;100000,"Low")</f>
        <v>Low</v>
      </c>
      <c r="N569" t="str">
        <f>TEXT(Table1[[#This Row],[Order_Date]],"MMMM")</f>
        <v>January</v>
      </c>
      <c r="O569">
        <f>YEAR(Table1[[#This Row],[Order_Date]])</f>
        <v>2027</v>
      </c>
    </row>
    <row r="570" spans="1:15" x14ac:dyDescent="0.3">
      <c r="A570" t="s">
        <v>601</v>
      </c>
      <c r="B570" s="1">
        <v>46389</v>
      </c>
      <c r="C570" t="s">
        <v>17</v>
      </c>
      <c r="D570" t="s">
        <v>51</v>
      </c>
      <c r="E570" t="s">
        <v>22</v>
      </c>
      <c r="F570" s="3">
        <v>3</v>
      </c>
      <c r="G570" s="4">
        <v>10812</v>
      </c>
      <c r="H570" s="4">
        <v>32436</v>
      </c>
      <c r="I570" s="4">
        <v>22986.32</v>
      </c>
      <c r="J570" s="4">
        <v>9449.68</v>
      </c>
      <c r="K570" t="s">
        <v>58</v>
      </c>
      <c r="L570" s="3">
        <f>(Table1[[#This Row],[Profit]]/Table1[[#This Row],[Sales_Amount]])*100</f>
        <v>29.133308669379705</v>
      </c>
      <c r="M570" s="4" t="str" cm="1">
        <f t="array" ref="M570">_xlfn.IFS(Table1[[#This Row],[Sales_Amount]]&gt;200000,"High",AND(Table1[[#This Row],[Sales_Amount]]&gt;100000,Table1[[#This Row],[Sales_Amount]]&lt;200000),"Medium",Table1[[#This Row],[Sales_Amount]]&lt;100000,"Low")</f>
        <v>Low</v>
      </c>
      <c r="N570" t="str">
        <f>TEXT(Table1[[#This Row],[Order_Date]],"MMMM")</f>
        <v>January</v>
      </c>
      <c r="O570">
        <f>YEAR(Table1[[#This Row],[Order_Date]])</f>
        <v>2027</v>
      </c>
    </row>
    <row r="571" spans="1:15" x14ac:dyDescent="0.3">
      <c r="A571" t="s">
        <v>602</v>
      </c>
      <c r="B571" s="1">
        <v>46390</v>
      </c>
      <c r="C571" t="s">
        <v>28</v>
      </c>
      <c r="D571" t="s">
        <v>51</v>
      </c>
      <c r="E571" t="s">
        <v>19</v>
      </c>
      <c r="F571" s="3">
        <v>2</v>
      </c>
      <c r="G571" s="4">
        <v>32056</v>
      </c>
      <c r="H571" s="4">
        <v>64112</v>
      </c>
      <c r="I571" s="4">
        <v>51454.29</v>
      </c>
      <c r="J571" s="4">
        <v>12657.71</v>
      </c>
      <c r="K571" t="s">
        <v>23</v>
      </c>
      <c r="L571" s="3">
        <f>(Table1[[#This Row],[Profit]]/Table1[[#This Row],[Sales_Amount]])*100</f>
        <v>19.743121412528076</v>
      </c>
      <c r="M571" s="4" t="str" cm="1">
        <f t="array" ref="M571">_xlfn.IFS(Table1[[#This Row],[Sales_Amount]]&gt;200000,"High",AND(Table1[[#This Row],[Sales_Amount]]&gt;100000,Table1[[#This Row],[Sales_Amount]]&lt;200000),"Medium",Table1[[#This Row],[Sales_Amount]]&lt;100000,"Low")</f>
        <v>Low</v>
      </c>
      <c r="N571" t="str">
        <f>TEXT(Table1[[#This Row],[Order_Date]],"MMMM")</f>
        <v>January</v>
      </c>
      <c r="O571">
        <f>YEAR(Table1[[#This Row],[Order_Date]])</f>
        <v>2027</v>
      </c>
    </row>
    <row r="572" spans="1:15" x14ac:dyDescent="0.3">
      <c r="A572" t="s">
        <v>603</v>
      </c>
      <c r="B572" s="1">
        <v>46391</v>
      </c>
      <c r="C572" t="s">
        <v>12</v>
      </c>
      <c r="D572" t="s">
        <v>13</v>
      </c>
      <c r="E572" t="s">
        <v>37</v>
      </c>
      <c r="F572" s="3">
        <v>1</v>
      </c>
      <c r="G572" s="4">
        <v>16469</v>
      </c>
      <c r="H572" s="4">
        <v>16469</v>
      </c>
      <c r="I572" s="4">
        <v>10094.56</v>
      </c>
      <c r="J572" s="4">
        <v>6374.44</v>
      </c>
      <c r="K572" t="s">
        <v>15</v>
      </c>
      <c r="L572" s="3">
        <f>(Table1[[#This Row],[Profit]]/Table1[[#This Row],[Sales_Amount]])*100</f>
        <v>38.705689477199584</v>
      </c>
      <c r="M572" s="4" t="str" cm="1">
        <f t="array" ref="M572">_xlfn.IFS(Table1[[#This Row],[Sales_Amount]]&gt;200000,"High",AND(Table1[[#This Row],[Sales_Amount]]&gt;100000,Table1[[#This Row],[Sales_Amount]]&lt;200000),"Medium",Table1[[#This Row],[Sales_Amount]]&lt;100000,"Low")</f>
        <v>Low</v>
      </c>
      <c r="N572" t="str">
        <f>TEXT(Table1[[#This Row],[Order_Date]],"MMMM")</f>
        <v>January</v>
      </c>
      <c r="O572">
        <f>YEAR(Table1[[#This Row],[Order_Date]])</f>
        <v>2027</v>
      </c>
    </row>
    <row r="573" spans="1:15" x14ac:dyDescent="0.3">
      <c r="A573" t="s">
        <v>604</v>
      </c>
      <c r="B573" s="1">
        <v>46392</v>
      </c>
      <c r="C573" t="s">
        <v>12</v>
      </c>
      <c r="D573" t="s">
        <v>21</v>
      </c>
      <c r="E573" t="s">
        <v>22</v>
      </c>
      <c r="F573" s="3">
        <v>1</v>
      </c>
      <c r="G573" s="4">
        <v>11401</v>
      </c>
      <c r="H573" s="4">
        <v>11401</v>
      </c>
      <c r="I573" s="4">
        <v>7723.93</v>
      </c>
      <c r="J573" s="4">
        <v>3677.07</v>
      </c>
      <c r="K573" t="s">
        <v>15</v>
      </c>
      <c r="L573" s="3">
        <f>(Table1[[#This Row],[Profit]]/Table1[[#This Row],[Sales_Amount]])*100</f>
        <v>32.25217086220507</v>
      </c>
      <c r="M573" s="4" t="str" cm="1">
        <f t="array" ref="M573">_xlfn.IFS(Table1[[#This Row],[Sales_Amount]]&gt;200000,"High",AND(Table1[[#This Row],[Sales_Amount]]&gt;100000,Table1[[#This Row],[Sales_Amount]]&lt;200000),"Medium",Table1[[#This Row],[Sales_Amount]]&lt;100000,"Low")</f>
        <v>Low</v>
      </c>
      <c r="N573" t="str">
        <f>TEXT(Table1[[#This Row],[Order_Date]],"MMMM")</f>
        <v>January</v>
      </c>
      <c r="O573">
        <f>YEAR(Table1[[#This Row],[Order_Date]])</f>
        <v>2027</v>
      </c>
    </row>
    <row r="574" spans="1:15" x14ac:dyDescent="0.3">
      <c r="A574" t="s">
        <v>605</v>
      </c>
      <c r="B574" s="1">
        <v>46393</v>
      </c>
      <c r="C574" t="s">
        <v>28</v>
      </c>
      <c r="D574" t="s">
        <v>56</v>
      </c>
      <c r="E574" t="s">
        <v>32</v>
      </c>
      <c r="F574" s="3">
        <v>2</v>
      </c>
      <c r="G574" s="4">
        <v>14694</v>
      </c>
      <c r="H574" s="4">
        <v>29388</v>
      </c>
      <c r="I574" s="4">
        <v>21593.16</v>
      </c>
      <c r="J574" s="4">
        <v>7794.84</v>
      </c>
      <c r="K574" t="s">
        <v>23</v>
      </c>
      <c r="L574" s="3">
        <f>(Table1[[#This Row],[Profit]]/Table1[[#This Row],[Sales_Amount]])*100</f>
        <v>26.523887300939158</v>
      </c>
      <c r="M574" s="4" t="str" cm="1">
        <f t="array" ref="M574">_xlfn.IFS(Table1[[#This Row],[Sales_Amount]]&gt;200000,"High",AND(Table1[[#This Row],[Sales_Amount]]&gt;100000,Table1[[#This Row],[Sales_Amount]]&lt;200000),"Medium",Table1[[#This Row],[Sales_Amount]]&lt;100000,"Low")</f>
        <v>Low</v>
      </c>
      <c r="N574" t="str">
        <f>TEXT(Table1[[#This Row],[Order_Date]],"MMMM")</f>
        <v>January</v>
      </c>
      <c r="O574">
        <f>YEAR(Table1[[#This Row],[Order_Date]])</f>
        <v>2027</v>
      </c>
    </row>
    <row r="575" spans="1:15" x14ac:dyDescent="0.3">
      <c r="A575" t="s">
        <v>606</v>
      </c>
      <c r="B575" s="1">
        <v>46394</v>
      </c>
      <c r="C575" t="s">
        <v>12</v>
      </c>
      <c r="D575" t="s">
        <v>44</v>
      </c>
      <c r="E575" t="s">
        <v>37</v>
      </c>
      <c r="F575" s="3">
        <v>10</v>
      </c>
      <c r="G575" s="4">
        <v>9852</v>
      </c>
      <c r="H575" s="4">
        <v>98520</v>
      </c>
      <c r="I575" s="4">
        <v>82597.67</v>
      </c>
      <c r="J575" s="4">
        <v>15922.33</v>
      </c>
      <c r="K575" t="s">
        <v>23</v>
      </c>
      <c r="L575" s="3">
        <f>(Table1[[#This Row],[Profit]]/Table1[[#This Row],[Sales_Amount]])*100</f>
        <v>16.161520503451076</v>
      </c>
      <c r="M575" s="4" t="str" cm="1">
        <f t="array" ref="M575">_xlfn.IFS(Table1[[#This Row],[Sales_Amount]]&gt;200000,"High",AND(Table1[[#This Row],[Sales_Amount]]&gt;100000,Table1[[#This Row],[Sales_Amount]]&lt;200000),"Medium",Table1[[#This Row],[Sales_Amount]]&lt;100000,"Low")</f>
        <v>Low</v>
      </c>
      <c r="N575" t="str">
        <f>TEXT(Table1[[#This Row],[Order_Date]],"MMMM")</f>
        <v>January</v>
      </c>
      <c r="O575">
        <f>YEAR(Table1[[#This Row],[Order_Date]])</f>
        <v>2027</v>
      </c>
    </row>
    <row r="576" spans="1:15" x14ac:dyDescent="0.3">
      <c r="A576" t="s">
        <v>607</v>
      </c>
      <c r="B576" s="1">
        <v>46395</v>
      </c>
      <c r="C576" t="s">
        <v>12</v>
      </c>
      <c r="D576" t="s">
        <v>21</v>
      </c>
      <c r="E576" t="s">
        <v>32</v>
      </c>
      <c r="F576" s="3">
        <v>8</v>
      </c>
      <c r="G576" s="4">
        <v>39594</v>
      </c>
      <c r="H576" s="4">
        <v>316752</v>
      </c>
      <c r="I576" s="4">
        <v>246172.94</v>
      </c>
      <c r="J576" s="4">
        <v>70579.06</v>
      </c>
      <c r="K576" t="s">
        <v>58</v>
      </c>
      <c r="L576" s="3">
        <f>(Table1[[#This Row],[Profit]]/Table1[[#This Row],[Sales_Amount]])*100</f>
        <v>22.282119765621054</v>
      </c>
      <c r="M576" s="4" t="str" cm="1">
        <f t="array" ref="M576">_xlfn.IFS(Table1[[#This Row],[Sales_Amount]]&gt;200000,"High",AND(Table1[[#This Row],[Sales_Amount]]&gt;100000,Table1[[#This Row],[Sales_Amount]]&lt;200000),"Medium",Table1[[#This Row],[Sales_Amount]]&lt;100000,"Low")</f>
        <v>High</v>
      </c>
      <c r="N576" t="str">
        <f>TEXT(Table1[[#This Row],[Order_Date]],"MMMM")</f>
        <v>January</v>
      </c>
      <c r="O576">
        <f>YEAR(Table1[[#This Row],[Order_Date]])</f>
        <v>2027</v>
      </c>
    </row>
    <row r="577" spans="1:15" x14ac:dyDescent="0.3">
      <c r="A577" t="s">
        <v>608</v>
      </c>
      <c r="B577" s="1">
        <v>46396</v>
      </c>
      <c r="C577" t="s">
        <v>28</v>
      </c>
      <c r="D577" t="s">
        <v>13</v>
      </c>
      <c r="E577" t="s">
        <v>14</v>
      </c>
      <c r="F577" s="3">
        <v>1</v>
      </c>
      <c r="G577" s="4">
        <v>13761</v>
      </c>
      <c r="H577" s="4">
        <v>13761</v>
      </c>
      <c r="I577" s="4">
        <v>10414.51</v>
      </c>
      <c r="J577" s="4">
        <v>3346.49</v>
      </c>
      <c r="K577" t="s">
        <v>15</v>
      </c>
      <c r="L577" s="3">
        <f>(Table1[[#This Row],[Profit]]/Table1[[#This Row],[Sales_Amount]])*100</f>
        <v>24.31865416757503</v>
      </c>
      <c r="M577" s="4" t="str" cm="1">
        <f t="array" ref="M577">_xlfn.IFS(Table1[[#This Row],[Sales_Amount]]&gt;200000,"High",AND(Table1[[#This Row],[Sales_Amount]]&gt;100000,Table1[[#This Row],[Sales_Amount]]&lt;200000),"Medium",Table1[[#This Row],[Sales_Amount]]&lt;100000,"Low")</f>
        <v>Low</v>
      </c>
      <c r="N577" t="str">
        <f>TEXT(Table1[[#This Row],[Order_Date]],"MMMM")</f>
        <v>January</v>
      </c>
      <c r="O577">
        <f>YEAR(Table1[[#This Row],[Order_Date]])</f>
        <v>2027</v>
      </c>
    </row>
    <row r="578" spans="1:15" x14ac:dyDescent="0.3">
      <c r="A578" t="s">
        <v>609</v>
      </c>
      <c r="B578" s="1">
        <v>46397</v>
      </c>
      <c r="C578" t="s">
        <v>17</v>
      </c>
      <c r="D578" t="s">
        <v>29</v>
      </c>
      <c r="E578" t="s">
        <v>37</v>
      </c>
      <c r="F578" s="3">
        <v>10</v>
      </c>
      <c r="G578" s="4">
        <v>39809</v>
      </c>
      <c r="H578" s="4">
        <v>398090</v>
      </c>
      <c r="I578" s="4">
        <v>243516.02</v>
      </c>
      <c r="J578" s="4">
        <v>154573.98000000001</v>
      </c>
      <c r="K578" t="s">
        <v>58</v>
      </c>
      <c r="L578" s="3">
        <f>(Table1[[#This Row],[Profit]]/Table1[[#This Row],[Sales_Amount]])*100</f>
        <v>38.828903011881735</v>
      </c>
      <c r="M578" s="4" t="str" cm="1">
        <f t="array" ref="M578">_xlfn.IFS(Table1[[#This Row],[Sales_Amount]]&gt;200000,"High",AND(Table1[[#This Row],[Sales_Amount]]&gt;100000,Table1[[#This Row],[Sales_Amount]]&lt;200000),"Medium",Table1[[#This Row],[Sales_Amount]]&lt;100000,"Low")</f>
        <v>High</v>
      </c>
      <c r="N578" t="str">
        <f>TEXT(Table1[[#This Row],[Order_Date]],"MMMM")</f>
        <v>January</v>
      </c>
      <c r="O578">
        <f>YEAR(Table1[[#This Row],[Order_Date]])</f>
        <v>2027</v>
      </c>
    </row>
    <row r="579" spans="1:15" x14ac:dyDescent="0.3">
      <c r="A579" t="s">
        <v>610</v>
      </c>
      <c r="B579" s="1">
        <v>46398</v>
      </c>
      <c r="C579" t="s">
        <v>28</v>
      </c>
      <c r="D579" t="s">
        <v>21</v>
      </c>
      <c r="E579" t="s">
        <v>22</v>
      </c>
      <c r="F579" s="3">
        <v>10</v>
      </c>
      <c r="G579" s="4">
        <v>35842</v>
      </c>
      <c r="H579" s="4">
        <v>358420</v>
      </c>
      <c r="I579" s="4">
        <v>304032.11</v>
      </c>
      <c r="J579" s="4">
        <v>54387.89</v>
      </c>
      <c r="K579" t="s">
        <v>26</v>
      </c>
      <c r="L579" s="3">
        <f>(Table1[[#This Row],[Profit]]/Table1[[#This Row],[Sales_Amount]])*100</f>
        <v>15.174345739635065</v>
      </c>
      <c r="M579" s="4" t="str" cm="1">
        <f t="array" ref="M579">_xlfn.IFS(Table1[[#This Row],[Sales_Amount]]&gt;200000,"High",AND(Table1[[#This Row],[Sales_Amount]]&gt;100000,Table1[[#This Row],[Sales_Amount]]&lt;200000),"Medium",Table1[[#This Row],[Sales_Amount]]&lt;100000,"Low")</f>
        <v>High</v>
      </c>
      <c r="N579" t="str">
        <f>TEXT(Table1[[#This Row],[Order_Date]],"MMMM")</f>
        <v>January</v>
      </c>
      <c r="O579">
        <f>YEAR(Table1[[#This Row],[Order_Date]])</f>
        <v>2027</v>
      </c>
    </row>
    <row r="580" spans="1:15" x14ac:dyDescent="0.3">
      <c r="A580" t="s">
        <v>611</v>
      </c>
      <c r="B580" s="1">
        <v>46399</v>
      </c>
      <c r="C580" t="s">
        <v>28</v>
      </c>
      <c r="D580" t="s">
        <v>21</v>
      </c>
      <c r="E580" t="s">
        <v>19</v>
      </c>
      <c r="F580" s="3">
        <v>9</v>
      </c>
      <c r="G580" s="4">
        <v>28612</v>
      </c>
      <c r="H580" s="4">
        <v>257508</v>
      </c>
      <c r="I580" s="4">
        <v>172233.16</v>
      </c>
      <c r="J580" s="4">
        <v>85274.84</v>
      </c>
      <c r="K580" t="s">
        <v>26</v>
      </c>
      <c r="L580" s="3">
        <f>(Table1[[#This Row],[Profit]]/Table1[[#This Row],[Sales_Amount]])*100</f>
        <v>33.115413890053901</v>
      </c>
      <c r="M580" s="4" t="str" cm="1">
        <f t="array" ref="M580">_xlfn.IFS(Table1[[#This Row],[Sales_Amount]]&gt;200000,"High",AND(Table1[[#This Row],[Sales_Amount]]&gt;100000,Table1[[#This Row],[Sales_Amount]]&lt;200000),"Medium",Table1[[#This Row],[Sales_Amount]]&lt;100000,"Low")</f>
        <v>High</v>
      </c>
      <c r="N580" t="str">
        <f>TEXT(Table1[[#This Row],[Order_Date]],"MMMM")</f>
        <v>January</v>
      </c>
      <c r="O580">
        <f>YEAR(Table1[[#This Row],[Order_Date]])</f>
        <v>2027</v>
      </c>
    </row>
    <row r="581" spans="1:15" x14ac:dyDescent="0.3">
      <c r="A581" t="s">
        <v>612</v>
      </c>
      <c r="B581" s="1">
        <v>46400</v>
      </c>
      <c r="C581" t="s">
        <v>40</v>
      </c>
      <c r="D581" t="s">
        <v>56</v>
      </c>
      <c r="E581" t="s">
        <v>19</v>
      </c>
      <c r="F581" s="3">
        <v>10</v>
      </c>
      <c r="G581" s="4">
        <v>6903</v>
      </c>
      <c r="H581" s="4">
        <v>69030</v>
      </c>
      <c r="I581" s="4">
        <v>50229.46</v>
      </c>
      <c r="J581" s="4">
        <v>18800.54</v>
      </c>
      <c r="K581" t="s">
        <v>23</v>
      </c>
      <c r="L581" s="3">
        <f>(Table1[[#This Row],[Profit]]/Table1[[#This Row],[Sales_Amount]])*100</f>
        <v>27.235317977690858</v>
      </c>
      <c r="M581" s="4" t="str" cm="1">
        <f t="array" ref="M581">_xlfn.IFS(Table1[[#This Row],[Sales_Amount]]&gt;200000,"High",AND(Table1[[#This Row],[Sales_Amount]]&gt;100000,Table1[[#This Row],[Sales_Amount]]&lt;200000),"Medium",Table1[[#This Row],[Sales_Amount]]&lt;100000,"Low")</f>
        <v>Low</v>
      </c>
      <c r="N581" t="str">
        <f>TEXT(Table1[[#This Row],[Order_Date]],"MMMM")</f>
        <v>January</v>
      </c>
      <c r="O581">
        <f>YEAR(Table1[[#This Row],[Order_Date]])</f>
        <v>2027</v>
      </c>
    </row>
    <row r="582" spans="1:15" x14ac:dyDescent="0.3">
      <c r="A582" t="s">
        <v>613</v>
      </c>
      <c r="B582" s="1">
        <v>46401</v>
      </c>
      <c r="C582" t="s">
        <v>12</v>
      </c>
      <c r="D582" t="s">
        <v>18</v>
      </c>
      <c r="E582" t="s">
        <v>32</v>
      </c>
      <c r="F582" s="3">
        <v>10</v>
      </c>
      <c r="G582" s="4">
        <v>36133</v>
      </c>
      <c r="H582" s="4">
        <v>361330</v>
      </c>
      <c r="I582" s="4">
        <v>261094.89</v>
      </c>
      <c r="J582" s="4">
        <v>100235.11</v>
      </c>
      <c r="K582" t="s">
        <v>15</v>
      </c>
      <c r="L582" s="3">
        <f>(Table1[[#This Row],[Profit]]/Table1[[#This Row],[Sales_Amount]])*100</f>
        <v>27.740600005535104</v>
      </c>
      <c r="M582" s="4" t="str" cm="1">
        <f t="array" ref="M582">_xlfn.IFS(Table1[[#This Row],[Sales_Amount]]&gt;200000,"High",AND(Table1[[#This Row],[Sales_Amount]]&gt;100000,Table1[[#This Row],[Sales_Amount]]&lt;200000),"Medium",Table1[[#This Row],[Sales_Amount]]&lt;100000,"Low")</f>
        <v>High</v>
      </c>
      <c r="N582" t="str">
        <f>TEXT(Table1[[#This Row],[Order_Date]],"MMMM")</f>
        <v>January</v>
      </c>
      <c r="O582">
        <f>YEAR(Table1[[#This Row],[Order_Date]])</f>
        <v>2027</v>
      </c>
    </row>
    <row r="583" spans="1:15" x14ac:dyDescent="0.3">
      <c r="A583" t="s">
        <v>614</v>
      </c>
      <c r="B583" s="1">
        <v>46402</v>
      </c>
      <c r="C583" t="s">
        <v>12</v>
      </c>
      <c r="D583" t="s">
        <v>34</v>
      </c>
      <c r="E583" t="s">
        <v>25</v>
      </c>
      <c r="F583" s="3">
        <v>2</v>
      </c>
      <c r="G583" s="4">
        <v>34563</v>
      </c>
      <c r="H583" s="4">
        <v>69126</v>
      </c>
      <c r="I583" s="4">
        <v>41624.79</v>
      </c>
      <c r="J583" s="4">
        <v>27501.21</v>
      </c>
      <c r="K583" t="s">
        <v>58</v>
      </c>
      <c r="L583" s="3">
        <f>(Table1[[#This Row],[Profit]]/Table1[[#This Row],[Sales_Amount]])*100</f>
        <v>39.784176720770766</v>
      </c>
      <c r="M583" s="4" t="str" cm="1">
        <f t="array" ref="M583">_xlfn.IFS(Table1[[#This Row],[Sales_Amount]]&gt;200000,"High",AND(Table1[[#This Row],[Sales_Amount]]&gt;100000,Table1[[#This Row],[Sales_Amount]]&lt;200000),"Medium",Table1[[#This Row],[Sales_Amount]]&lt;100000,"Low")</f>
        <v>Low</v>
      </c>
      <c r="N583" t="str">
        <f>TEXT(Table1[[#This Row],[Order_Date]],"MMMM")</f>
        <v>January</v>
      </c>
      <c r="O583">
        <f>YEAR(Table1[[#This Row],[Order_Date]])</f>
        <v>2027</v>
      </c>
    </row>
    <row r="584" spans="1:15" x14ac:dyDescent="0.3">
      <c r="A584" t="s">
        <v>615</v>
      </c>
      <c r="B584" s="1">
        <v>46403</v>
      </c>
      <c r="C584" t="s">
        <v>40</v>
      </c>
      <c r="D584" t="s">
        <v>44</v>
      </c>
      <c r="E584" t="s">
        <v>14</v>
      </c>
      <c r="F584" s="3">
        <v>3</v>
      </c>
      <c r="G584" s="4">
        <v>28423</v>
      </c>
      <c r="H584" s="4">
        <v>85269</v>
      </c>
      <c r="I584" s="4">
        <v>67829.17</v>
      </c>
      <c r="J584" s="4">
        <v>17439.830000000002</v>
      </c>
      <c r="K584" t="s">
        <v>58</v>
      </c>
      <c r="L584" s="3">
        <f>(Table1[[#This Row],[Profit]]/Table1[[#This Row],[Sales_Amount]])*100</f>
        <v>20.452720214849478</v>
      </c>
      <c r="M584" s="4" t="str" cm="1">
        <f t="array" ref="M584">_xlfn.IFS(Table1[[#This Row],[Sales_Amount]]&gt;200000,"High",AND(Table1[[#This Row],[Sales_Amount]]&gt;100000,Table1[[#This Row],[Sales_Amount]]&lt;200000),"Medium",Table1[[#This Row],[Sales_Amount]]&lt;100000,"Low")</f>
        <v>Low</v>
      </c>
      <c r="N584" t="str">
        <f>TEXT(Table1[[#This Row],[Order_Date]],"MMMM")</f>
        <v>January</v>
      </c>
      <c r="O584">
        <f>YEAR(Table1[[#This Row],[Order_Date]])</f>
        <v>2027</v>
      </c>
    </row>
    <row r="585" spans="1:15" x14ac:dyDescent="0.3">
      <c r="A585" t="s">
        <v>616</v>
      </c>
      <c r="B585" s="1">
        <v>46404</v>
      </c>
      <c r="C585" t="s">
        <v>28</v>
      </c>
      <c r="D585" t="s">
        <v>51</v>
      </c>
      <c r="E585" t="s">
        <v>32</v>
      </c>
      <c r="F585" s="3">
        <v>10</v>
      </c>
      <c r="G585" s="4">
        <v>18559</v>
      </c>
      <c r="H585" s="4">
        <v>185590</v>
      </c>
      <c r="I585" s="4">
        <v>166574.37</v>
      </c>
      <c r="J585" s="4">
        <v>19015.63</v>
      </c>
      <c r="K585" t="s">
        <v>58</v>
      </c>
      <c r="L585" s="3">
        <f>(Table1[[#This Row],[Profit]]/Table1[[#This Row],[Sales_Amount]])*100</f>
        <v>10.246042351419797</v>
      </c>
      <c r="M585" s="4" t="str" cm="1">
        <f t="array" ref="M585">_xlfn.IFS(Table1[[#This Row],[Sales_Amount]]&gt;200000,"High",AND(Table1[[#This Row],[Sales_Amount]]&gt;100000,Table1[[#This Row],[Sales_Amount]]&lt;200000),"Medium",Table1[[#This Row],[Sales_Amount]]&lt;100000,"Low")</f>
        <v>Medium</v>
      </c>
      <c r="N585" t="str">
        <f>TEXT(Table1[[#This Row],[Order_Date]],"MMMM")</f>
        <v>January</v>
      </c>
      <c r="O585">
        <f>YEAR(Table1[[#This Row],[Order_Date]])</f>
        <v>2027</v>
      </c>
    </row>
    <row r="586" spans="1:15" x14ac:dyDescent="0.3">
      <c r="A586" t="s">
        <v>617</v>
      </c>
      <c r="B586" s="1">
        <v>46405</v>
      </c>
      <c r="C586" t="s">
        <v>28</v>
      </c>
      <c r="D586" t="s">
        <v>44</v>
      </c>
      <c r="E586" t="s">
        <v>25</v>
      </c>
      <c r="F586" s="3">
        <v>8</v>
      </c>
      <c r="G586" s="4">
        <v>12212</v>
      </c>
      <c r="H586" s="4">
        <v>97696</v>
      </c>
      <c r="I586" s="4">
        <v>69468.100000000006</v>
      </c>
      <c r="J586" s="4">
        <v>28227.9</v>
      </c>
      <c r="K586" t="s">
        <v>26</v>
      </c>
      <c r="L586" s="3">
        <f>(Table1[[#This Row],[Profit]]/Table1[[#This Row],[Sales_Amount]])*100</f>
        <v>28.893608745496234</v>
      </c>
      <c r="M586" s="4" t="str" cm="1">
        <f t="array" ref="M586">_xlfn.IFS(Table1[[#This Row],[Sales_Amount]]&gt;200000,"High",AND(Table1[[#This Row],[Sales_Amount]]&gt;100000,Table1[[#This Row],[Sales_Amount]]&lt;200000),"Medium",Table1[[#This Row],[Sales_Amount]]&lt;100000,"Low")</f>
        <v>Low</v>
      </c>
      <c r="N586" t="str">
        <f>TEXT(Table1[[#This Row],[Order_Date]],"MMMM")</f>
        <v>January</v>
      </c>
      <c r="O586">
        <f>YEAR(Table1[[#This Row],[Order_Date]])</f>
        <v>2027</v>
      </c>
    </row>
    <row r="587" spans="1:15" x14ac:dyDescent="0.3">
      <c r="A587" t="s">
        <v>618</v>
      </c>
      <c r="B587" s="1">
        <v>46406</v>
      </c>
      <c r="C587" t="s">
        <v>17</v>
      </c>
      <c r="D587" t="s">
        <v>51</v>
      </c>
      <c r="E587" t="s">
        <v>32</v>
      </c>
      <c r="F587" s="3">
        <v>7</v>
      </c>
      <c r="G587" s="4">
        <v>48720</v>
      </c>
      <c r="H587" s="4">
        <v>341040</v>
      </c>
      <c r="I587" s="4">
        <v>218750.07</v>
      </c>
      <c r="J587" s="4">
        <v>122289.93</v>
      </c>
      <c r="K587" t="s">
        <v>58</v>
      </c>
      <c r="L587" s="3">
        <f>(Table1[[#This Row],[Profit]]/Table1[[#This Row],[Sales_Amount]])*100</f>
        <v>35.85794334975369</v>
      </c>
      <c r="M587" s="4" t="str" cm="1">
        <f t="array" ref="M587">_xlfn.IFS(Table1[[#This Row],[Sales_Amount]]&gt;200000,"High",AND(Table1[[#This Row],[Sales_Amount]]&gt;100000,Table1[[#This Row],[Sales_Amount]]&lt;200000),"Medium",Table1[[#This Row],[Sales_Amount]]&lt;100000,"Low")</f>
        <v>High</v>
      </c>
      <c r="N587" t="str">
        <f>TEXT(Table1[[#This Row],[Order_Date]],"MMMM")</f>
        <v>January</v>
      </c>
      <c r="O587">
        <f>YEAR(Table1[[#This Row],[Order_Date]])</f>
        <v>2027</v>
      </c>
    </row>
    <row r="588" spans="1:15" x14ac:dyDescent="0.3">
      <c r="A588" t="s">
        <v>619</v>
      </c>
      <c r="B588" s="1">
        <v>46407</v>
      </c>
      <c r="C588" t="s">
        <v>40</v>
      </c>
      <c r="D588" t="s">
        <v>18</v>
      </c>
      <c r="E588" t="s">
        <v>22</v>
      </c>
      <c r="F588" s="3">
        <v>2</v>
      </c>
      <c r="G588" s="4">
        <v>14554</v>
      </c>
      <c r="H588" s="4">
        <v>29108</v>
      </c>
      <c r="I588" s="4">
        <v>21903.86</v>
      </c>
      <c r="J588" s="4">
        <v>7204.14</v>
      </c>
      <c r="K588" t="s">
        <v>23</v>
      </c>
      <c r="L588" s="3">
        <f>(Table1[[#This Row],[Profit]]/Table1[[#This Row],[Sales_Amount]])*100</f>
        <v>24.749690806651092</v>
      </c>
      <c r="M588" s="4" t="str" cm="1">
        <f t="array" ref="M588">_xlfn.IFS(Table1[[#This Row],[Sales_Amount]]&gt;200000,"High",AND(Table1[[#This Row],[Sales_Amount]]&gt;100000,Table1[[#This Row],[Sales_Amount]]&lt;200000),"Medium",Table1[[#This Row],[Sales_Amount]]&lt;100000,"Low")</f>
        <v>Low</v>
      </c>
      <c r="N588" t="str">
        <f>TEXT(Table1[[#This Row],[Order_Date]],"MMMM")</f>
        <v>January</v>
      </c>
      <c r="O588">
        <f>YEAR(Table1[[#This Row],[Order_Date]])</f>
        <v>2027</v>
      </c>
    </row>
    <row r="589" spans="1:15" x14ac:dyDescent="0.3">
      <c r="A589" t="s">
        <v>620</v>
      </c>
      <c r="B589" s="1">
        <v>46408</v>
      </c>
      <c r="C589" t="s">
        <v>28</v>
      </c>
      <c r="D589" t="s">
        <v>21</v>
      </c>
      <c r="E589" t="s">
        <v>19</v>
      </c>
      <c r="F589" s="3">
        <v>1</v>
      </c>
      <c r="G589" s="4">
        <v>6469</v>
      </c>
      <c r="H589" s="4">
        <v>6469</v>
      </c>
      <c r="I589" s="4">
        <v>5479.09</v>
      </c>
      <c r="J589" s="4">
        <v>989.91</v>
      </c>
      <c r="K589" t="s">
        <v>15</v>
      </c>
      <c r="L589" s="3">
        <f>(Table1[[#This Row],[Profit]]/Table1[[#This Row],[Sales_Amount]])*100</f>
        <v>15.302365125985467</v>
      </c>
      <c r="M589" s="4" t="str" cm="1">
        <f t="array" ref="M589">_xlfn.IFS(Table1[[#This Row],[Sales_Amount]]&gt;200000,"High",AND(Table1[[#This Row],[Sales_Amount]]&gt;100000,Table1[[#This Row],[Sales_Amount]]&lt;200000),"Medium",Table1[[#This Row],[Sales_Amount]]&lt;100000,"Low")</f>
        <v>Low</v>
      </c>
      <c r="N589" t="str">
        <f>TEXT(Table1[[#This Row],[Order_Date]],"MMMM")</f>
        <v>January</v>
      </c>
      <c r="O589">
        <f>YEAR(Table1[[#This Row],[Order_Date]])</f>
        <v>2027</v>
      </c>
    </row>
    <row r="590" spans="1:15" x14ac:dyDescent="0.3">
      <c r="A590" t="s">
        <v>621</v>
      </c>
      <c r="B590" s="1">
        <v>46409</v>
      </c>
      <c r="C590" t="s">
        <v>17</v>
      </c>
      <c r="D590" t="s">
        <v>21</v>
      </c>
      <c r="E590" t="s">
        <v>32</v>
      </c>
      <c r="F590" s="3">
        <v>4</v>
      </c>
      <c r="G590" s="4">
        <v>24803</v>
      </c>
      <c r="H590" s="4">
        <v>99212</v>
      </c>
      <c r="I590" s="4">
        <v>61909.47</v>
      </c>
      <c r="J590" s="4">
        <v>37302.53</v>
      </c>
      <c r="K590" t="s">
        <v>58</v>
      </c>
      <c r="L590" s="3">
        <f>(Table1[[#This Row],[Profit]]/Table1[[#This Row],[Sales_Amount]])*100</f>
        <v>37.598808611861465</v>
      </c>
      <c r="M590" s="4" t="str" cm="1">
        <f t="array" ref="M590">_xlfn.IFS(Table1[[#This Row],[Sales_Amount]]&gt;200000,"High",AND(Table1[[#This Row],[Sales_Amount]]&gt;100000,Table1[[#This Row],[Sales_Amount]]&lt;200000),"Medium",Table1[[#This Row],[Sales_Amount]]&lt;100000,"Low")</f>
        <v>Low</v>
      </c>
      <c r="N590" t="str">
        <f>TEXT(Table1[[#This Row],[Order_Date]],"MMMM")</f>
        <v>January</v>
      </c>
      <c r="O590">
        <f>YEAR(Table1[[#This Row],[Order_Date]])</f>
        <v>2027</v>
      </c>
    </row>
    <row r="591" spans="1:15" x14ac:dyDescent="0.3">
      <c r="A591" t="s">
        <v>622</v>
      </c>
      <c r="B591" s="1">
        <v>46410</v>
      </c>
      <c r="C591" t="s">
        <v>17</v>
      </c>
      <c r="D591" t="s">
        <v>13</v>
      </c>
      <c r="E591" t="s">
        <v>19</v>
      </c>
      <c r="F591" s="3">
        <v>9</v>
      </c>
      <c r="G591" s="4">
        <v>19274</v>
      </c>
      <c r="H591" s="4">
        <v>173466</v>
      </c>
      <c r="I591" s="4">
        <v>141111.43</v>
      </c>
      <c r="J591" s="4">
        <v>32354.57</v>
      </c>
      <c r="K591" t="s">
        <v>58</v>
      </c>
      <c r="L591" s="3">
        <f>(Table1[[#This Row],[Profit]]/Table1[[#This Row],[Sales_Amount]])*100</f>
        <v>18.651822259117061</v>
      </c>
      <c r="M591" s="4" t="str" cm="1">
        <f t="array" ref="M591">_xlfn.IFS(Table1[[#This Row],[Sales_Amount]]&gt;200000,"High",AND(Table1[[#This Row],[Sales_Amount]]&gt;100000,Table1[[#This Row],[Sales_Amount]]&lt;200000),"Medium",Table1[[#This Row],[Sales_Amount]]&lt;100000,"Low")</f>
        <v>Medium</v>
      </c>
      <c r="N591" t="str">
        <f>TEXT(Table1[[#This Row],[Order_Date]],"MMMM")</f>
        <v>January</v>
      </c>
      <c r="O591">
        <f>YEAR(Table1[[#This Row],[Order_Date]])</f>
        <v>2027</v>
      </c>
    </row>
    <row r="592" spans="1:15" x14ac:dyDescent="0.3">
      <c r="A592" t="s">
        <v>623</v>
      </c>
      <c r="B592" s="1">
        <v>46411</v>
      </c>
      <c r="C592" t="s">
        <v>40</v>
      </c>
      <c r="D592" t="s">
        <v>51</v>
      </c>
      <c r="E592" t="s">
        <v>14</v>
      </c>
      <c r="F592" s="3">
        <v>4</v>
      </c>
      <c r="G592" s="4">
        <v>43549</v>
      </c>
      <c r="H592" s="4">
        <v>174196</v>
      </c>
      <c r="I592" s="4">
        <v>153157.92000000001</v>
      </c>
      <c r="J592" s="4">
        <v>21038.080000000002</v>
      </c>
      <c r="K592" t="s">
        <v>15</v>
      </c>
      <c r="L592" s="3">
        <f>(Table1[[#This Row],[Profit]]/Table1[[#This Row],[Sales_Amount]])*100</f>
        <v>12.077246320236975</v>
      </c>
      <c r="M592" s="4" t="str" cm="1">
        <f t="array" ref="M592">_xlfn.IFS(Table1[[#This Row],[Sales_Amount]]&gt;200000,"High",AND(Table1[[#This Row],[Sales_Amount]]&gt;100000,Table1[[#This Row],[Sales_Amount]]&lt;200000),"Medium",Table1[[#This Row],[Sales_Amount]]&lt;100000,"Low")</f>
        <v>Medium</v>
      </c>
      <c r="N592" t="str">
        <f>TEXT(Table1[[#This Row],[Order_Date]],"MMMM")</f>
        <v>January</v>
      </c>
      <c r="O592">
        <f>YEAR(Table1[[#This Row],[Order_Date]])</f>
        <v>2027</v>
      </c>
    </row>
    <row r="593" spans="1:15" x14ac:dyDescent="0.3">
      <c r="A593" t="s">
        <v>624</v>
      </c>
      <c r="B593" s="1">
        <v>46412</v>
      </c>
      <c r="C593" t="s">
        <v>12</v>
      </c>
      <c r="D593" t="s">
        <v>18</v>
      </c>
      <c r="E593" t="s">
        <v>25</v>
      </c>
      <c r="F593" s="3">
        <v>9</v>
      </c>
      <c r="G593" s="4">
        <v>46273</v>
      </c>
      <c r="H593" s="4">
        <v>416457</v>
      </c>
      <c r="I593" s="4">
        <v>278818.5</v>
      </c>
      <c r="J593" s="4">
        <v>137638.5</v>
      </c>
      <c r="K593" t="s">
        <v>26</v>
      </c>
      <c r="L593" s="3">
        <f>(Table1[[#This Row],[Profit]]/Table1[[#This Row],[Sales_Amount]])*100</f>
        <v>33.049870694933695</v>
      </c>
      <c r="M593" s="4" t="str" cm="1">
        <f t="array" ref="M593">_xlfn.IFS(Table1[[#This Row],[Sales_Amount]]&gt;200000,"High",AND(Table1[[#This Row],[Sales_Amount]]&gt;100000,Table1[[#This Row],[Sales_Amount]]&lt;200000),"Medium",Table1[[#This Row],[Sales_Amount]]&lt;100000,"Low")</f>
        <v>High</v>
      </c>
      <c r="N593" t="str">
        <f>TEXT(Table1[[#This Row],[Order_Date]],"MMMM")</f>
        <v>January</v>
      </c>
      <c r="O593">
        <f>YEAR(Table1[[#This Row],[Order_Date]])</f>
        <v>2027</v>
      </c>
    </row>
    <row r="594" spans="1:15" x14ac:dyDescent="0.3">
      <c r="A594" t="s">
        <v>625</v>
      </c>
      <c r="B594" s="1">
        <v>46413</v>
      </c>
      <c r="C594" t="s">
        <v>40</v>
      </c>
      <c r="D594" t="s">
        <v>21</v>
      </c>
      <c r="E594" t="s">
        <v>19</v>
      </c>
      <c r="F594" s="3">
        <v>1</v>
      </c>
      <c r="G594" s="4">
        <v>10818</v>
      </c>
      <c r="H594" s="4">
        <v>10818</v>
      </c>
      <c r="I594" s="4">
        <v>6772.64</v>
      </c>
      <c r="J594" s="4">
        <v>4045.36</v>
      </c>
      <c r="K594" t="s">
        <v>26</v>
      </c>
      <c r="L594" s="3">
        <f>(Table1[[#This Row],[Profit]]/Table1[[#This Row],[Sales_Amount]])*100</f>
        <v>37.394712516176739</v>
      </c>
      <c r="M594" s="4" t="str" cm="1">
        <f t="array" ref="M594">_xlfn.IFS(Table1[[#This Row],[Sales_Amount]]&gt;200000,"High",AND(Table1[[#This Row],[Sales_Amount]]&gt;100000,Table1[[#This Row],[Sales_Amount]]&lt;200000),"Medium",Table1[[#This Row],[Sales_Amount]]&lt;100000,"Low")</f>
        <v>Low</v>
      </c>
      <c r="N594" t="str">
        <f>TEXT(Table1[[#This Row],[Order_Date]],"MMMM")</f>
        <v>January</v>
      </c>
      <c r="O594">
        <f>YEAR(Table1[[#This Row],[Order_Date]])</f>
        <v>2027</v>
      </c>
    </row>
    <row r="595" spans="1:15" x14ac:dyDescent="0.3">
      <c r="A595" t="s">
        <v>626</v>
      </c>
      <c r="B595" s="1">
        <v>46414</v>
      </c>
      <c r="C595" t="s">
        <v>17</v>
      </c>
      <c r="D595" t="s">
        <v>29</v>
      </c>
      <c r="E595" t="s">
        <v>37</v>
      </c>
      <c r="F595" s="3">
        <v>7</v>
      </c>
      <c r="G595" s="4">
        <v>38909</v>
      </c>
      <c r="H595" s="4">
        <v>272363</v>
      </c>
      <c r="I595" s="4">
        <v>179784.94</v>
      </c>
      <c r="J595" s="4">
        <v>92578.06</v>
      </c>
      <c r="K595" t="s">
        <v>15</v>
      </c>
      <c r="L595" s="3">
        <f>(Table1[[#This Row],[Profit]]/Table1[[#This Row],[Sales_Amount]])*100</f>
        <v>33.990688896803164</v>
      </c>
      <c r="M595" s="4" t="str" cm="1">
        <f t="array" ref="M595">_xlfn.IFS(Table1[[#This Row],[Sales_Amount]]&gt;200000,"High",AND(Table1[[#This Row],[Sales_Amount]]&gt;100000,Table1[[#This Row],[Sales_Amount]]&lt;200000),"Medium",Table1[[#This Row],[Sales_Amount]]&lt;100000,"Low")</f>
        <v>High</v>
      </c>
      <c r="N595" t="str">
        <f>TEXT(Table1[[#This Row],[Order_Date]],"MMMM")</f>
        <v>January</v>
      </c>
      <c r="O595">
        <f>YEAR(Table1[[#This Row],[Order_Date]])</f>
        <v>2027</v>
      </c>
    </row>
    <row r="596" spans="1:15" x14ac:dyDescent="0.3">
      <c r="A596" t="s">
        <v>627</v>
      </c>
      <c r="B596" s="1">
        <v>46415</v>
      </c>
      <c r="C596" t="s">
        <v>40</v>
      </c>
      <c r="D596" t="s">
        <v>51</v>
      </c>
      <c r="E596" t="s">
        <v>32</v>
      </c>
      <c r="F596" s="3">
        <v>9</v>
      </c>
      <c r="G596" s="4">
        <v>38703</v>
      </c>
      <c r="H596" s="4">
        <v>348327</v>
      </c>
      <c r="I596" s="4">
        <v>245371.49</v>
      </c>
      <c r="J596" s="4">
        <v>102955.51</v>
      </c>
      <c r="K596" t="s">
        <v>23</v>
      </c>
      <c r="L596" s="3">
        <f>(Table1[[#This Row],[Profit]]/Table1[[#This Row],[Sales_Amount]])*100</f>
        <v>29.557143144229414</v>
      </c>
      <c r="M596" s="4" t="str" cm="1">
        <f t="array" ref="M596">_xlfn.IFS(Table1[[#This Row],[Sales_Amount]]&gt;200000,"High",AND(Table1[[#This Row],[Sales_Amount]]&gt;100000,Table1[[#This Row],[Sales_Amount]]&lt;200000),"Medium",Table1[[#This Row],[Sales_Amount]]&lt;100000,"Low")</f>
        <v>High</v>
      </c>
      <c r="N596" t="str">
        <f>TEXT(Table1[[#This Row],[Order_Date]],"MMMM")</f>
        <v>January</v>
      </c>
      <c r="O596">
        <f>YEAR(Table1[[#This Row],[Order_Date]])</f>
        <v>2027</v>
      </c>
    </row>
    <row r="597" spans="1:15" x14ac:dyDescent="0.3">
      <c r="A597" t="s">
        <v>628</v>
      </c>
      <c r="B597" s="1">
        <v>46416</v>
      </c>
      <c r="C597" t="s">
        <v>28</v>
      </c>
      <c r="D597" t="s">
        <v>29</v>
      </c>
      <c r="E597" t="s">
        <v>37</v>
      </c>
      <c r="F597" s="3">
        <v>10</v>
      </c>
      <c r="G597" s="4">
        <v>804</v>
      </c>
      <c r="H597" s="4">
        <v>8040</v>
      </c>
      <c r="I597" s="4">
        <v>5453.79</v>
      </c>
      <c r="J597" s="4">
        <v>2586.21</v>
      </c>
      <c r="K597" t="s">
        <v>15</v>
      </c>
      <c r="L597" s="3">
        <f>(Table1[[#This Row],[Profit]]/Table1[[#This Row],[Sales_Amount]])*100</f>
        <v>32.166791044776119</v>
      </c>
      <c r="M597" s="4" t="str" cm="1">
        <f t="array" ref="M597">_xlfn.IFS(Table1[[#This Row],[Sales_Amount]]&gt;200000,"High",AND(Table1[[#This Row],[Sales_Amount]]&gt;100000,Table1[[#This Row],[Sales_Amount]]&lt;200000),"Medium",Table1[[#This Row],[Sales_Amount]]&lt;100000,"Low")</f>
        <v>Low</v>
      </c>
      <c r="N597" t="str">
        <f>TEXT(Table1[[#This Row],[Order_Date]],"MMMM")</f>
        <v>January</v>
      </c>
      <c r="O597">
        <f>YEAR(Table1[[#This Row],[Order_Date]])</f>
        <v>2027</v>
      </c>
    </row>
    <row r="598" spans="1:15" x14ac:dyDescent="0.3">
      <c r="A598" t="s">
        <v>629</v>
      </c>
      <c r="B598" s="1">
        <v>46417</v>
      </c>
      <c r="C598" t="s">
        <v>40</v>
      </c>
      <c r="D598" t="s">
        <v>44</v>
      </c>
      <c r="E598" t="s">
        <v>32</v>
      </c>
      <c r="F598" s="3">
        <v>6</v>
      </c>
      <c r="G598" s="4">
        <v>8168</v>
      </c>
      <c r="H598" s="4">
        <v>49008</v>
      </c>
      <c r="I598" s="4">
        <v>41209.980000000003</v>
      </c>
      <c r="J598" s="4">
        <v>7798.02</v>
      </c>
      <c r="K598" t="s">
        <v>58</v>
      </c>
      <c r="L598" s="3">
        <f>(Table1[[#This Row],[Profit]]/Table1[[#This Row],[Sales_Amount]])*100</f>
        <v>15.911728697355535</v>
      </c>
      <c r="M598" s="4" t="str" cm="1">
        <f t="array" ref="M598">_xlfn.IFS(Table1[[#This Row],[Sales_Amount]]&gt;200000,"High",AND(Table1[[#This Row],[Sales_Amount]]&gt;100000,Table1[[#This Row],[Sales_Amount]]&lt;200000),"Medium",Table1[[#This Row],[Sales_Amount]]&lt;100000,"Low")</f>
        <v>Low</v>
      </c>
      <c r="N598" t="str">
        <f>TEXT(Table1[[#This Row],[Order_Date]],"MMMM")</f>
        <v>January</v>
      </c>
      <c r="O598">
        <f>YEAR(Table1[[#This Row],[Order_Date]])</f>
        <v>2027</v>
      </c>
    </row>
    <row r="599" spans="1:15" x14ac:dyDescent="0.3">
      <c r="A599" t="s">
        <v>630</v>
      </c>
      <c r="B599" s="1">
        <v>46418</v>
      </c>
      <c r="C599" t="s">
        <v>28</v>
      </c>
      <c r="D599" t="s">
        <v>56</v>
      </c>
      <c r="E599" t="s">
        <v>25</v>
      </c>
      <c r="F599" s="3">
        <v>8</v>
      </c>
      <c r="G599" s="4">
        <v>16443</v>
      </c>
      <c r="H599" s="4">
        <v>131544</v>
      </c>
      <c r="I599" s="4">
        <v>108818.72</v>
      </c>
      <c r="J599" s="4">
        <v>22725.279999999999</v>
      </c>
      <c r="K599" t="s">
        <v>15</v>
      </c>
      <c r="L599" s="3">
        <f>(Table1[[#This Row],[Profit]]/Table1[[#This Row],[Sales_Amount]])*100</f>
        <v>17.275801252812748</v>
      </c>
      <c r="M599" s="4" t="str" cm="1">
        <f t="array" ref="M599">_xlfn.IFS(Table1[[#This Row],[Sales_Amount]]&gt;200000,"High",AND(Table1[[#This Row],[Sales_Amount]]&gt;100000,Table1[[#This Row],[Sales_Amount]]&lt;200000),"Medium",Table1[[#This Row],[Sales_Amount]]&lt;100000,"Low")</f>
        <v>Medium</v>
      </c>
      <c r="N599" t="str">
        <f>TEXT(Table1[[#This Row],[Order_Date]],"MMMM")</f>
        <v>January</v>
      </c>
      <c r="O599">
        <f>YEAR(Table1[[#This Row],[Order_Date]])</f>
        <v>2027</v>
      </c>
    </row>
    <row r="600" spans="1:15" x14ac:dyDescent="0.3">
      <c r="A600" t="s">
        <v>631</v>
      </c>
      <c r="B600" s="1">
        <v>46419</v>
      </c>
      <c r="C600" t="s">
        <v>12</v>
      </c>
      <c r="D600" t="s">
        <v>51</v>
      </c>
      <c r="E600" t="s">
        <v>14</v>
      </c>
      <c r="F600" s="3">
        <v>5</v>
      </c>
      <c r="G600" s="4">
        <v>4927</v>
      </c>
      <c r="H600" s="4">
        <v>24635</v>
      </c>
      <c r="I600" s="4">
        <v>17609.150000000001</v>
      </c>
      <c r="J600" s="4">
        <v>7025.85</v>
      </c>
      <c r="K600" t="s">
        <v>26</v>
      </c>
      <c r="L600" s="3">
        <f>(Table1[[#This Row],[Profit]]/Table1[[#This Row],[Sales_Amount]])*100</f>
        <v>28.519788918205808</v>
      </c>
      <c r="M600" s="4" t="str" cm="1">
        <f t="array" ref="M600">_xlfn.IFS(Table1[[#This Row],[Sales_Amount]]&gt;200000,"High",AND(Table1[[#This Row],[Sales_Amount]]&gt;100000,Table1[[#This Row],[Sales_Amount]]&lt;200000),"Medium",Table1[[#This Row],[Sales_Amount]]&lt;100000,"Low")</f>
        <v>Low</v>
      </c>
      <c r="N600" t="str">
        <f>TEXT(Table1[[#This Row],[Order_Date]],"MMMM")</f>
        <v>February</v>
      </c>
      <c r="O600">
        <f>YEAR(Table1[[#This Row],[Order_Date]])</f>
        <v>2027</v>
      </c>
    </row>
    <row r="601" spans="1:15" x14ac:dyDescent="0.3">
      <c r="A601" t="s">
        <v>632</v>
      </c>
      <c r="B601" s="1">
        <v>46420</v>
      </c>
      <c r="C601" t="s">
        <v>40</v>
      </c>
      <c r="D601" t="s">
        <v>51</v>
      </c>
      <c r="E601" t="s">
        <v>32</v>
      </c>
      <c r="F601" s="3">
        <v>9</v>
      </c>
      <c r="G601" s="4">
        <v>35604</v>
      </c>
      <c r="H601" s="4">
        <v>320436</v>
      </c>
      <c r="I601" s="4">
        <v>193196.3</v>
      </c>
      <c r="J601" s="4">
        <v>127239.7</v>
      </c>
      <c r="K601" t="s">
        <v>26</v>
      </c>
      <c r="L601" s="3">
        <f>(Table1[[#This Row],[Profit]]/Table1[[#This Row],[Sales_Amount]])*100</f>
        <v>39.708303686227516</v>
      </c>
      <c r="M601" s="4" t="str" cm="1">
        <f t="array" ref="M601">_xlfn.IFS(Table1[[#This Row],[Sales_Amount]]&gt;200000,"High",AND(Table1[[#This Row],[Sales_Amount]]&gt;100000,Table1[[#This Row],[Sales_Amount]]&lt;200000),"Medium",Table1[[#This Row],[Sales_Amount]]&lt;100000,"Low")</f>
        <v>High</v>
      </c>
      <c r="N601" t="str">
        <f>TEXT(Table1[[#This Row],[Order_Date]],"MMMM")</f>
        <v>February</v>
      </c>
      <c r="O601">
        <f>YEAR(Table1[[#This Row],[Order_Date]])</f>
        <v>2027</v>
      </c>
    </row>
    <row r="602" spans="1:15" x14ac:dyDescent="0.3">
      <c r="A602" t="s">
        <v>633</v>
      </c>
      <c r="B602" s="1">
        <v>46421</v>
      </c>
      <c r="C602" t="s">
        <v>12</v>
      </c>
      <c r="D602" t="s">
        <v>56</v>
      </c>
      <c r="E602" t="s">
        <v>37</v>
      </c>
      <c r="F602" s="3">
        <v>6</v>
      </c>
      <c r="G602" s="4">
        <v>5482</v>
      </c>
      <c r="H602" s="4">
        <v>32892</v>
      </c>
      <c r="I602" s="4">
        <v>25207.29</v>
      </c>
      <c r="J602" s="4">
        <v>7684.71</v>
      </c>
      <c r="K602" t="s">
        <v>26</v>
      </c>
      <c r="L602" s="3">
        <f>(Table1[[#This Row],[Profit]]/Table1[[#This Row],[Sales_Amount]])*100</f>
        <v>23.363462240058372</v>
      </c>
      <c r="M602" s="4" t="str" cm="1">
        <f t="array" ref="M602">_xlfn.IFS(Table1[[#This Row],[Sales_Amount]]&gt;200000,"High",AND(Table1[[#This Row],[Sales_Amount]]&gt;100000,Table1[[#This Row],[Sales_Amount]]&lt;200000),"Medium",Table1[[#This Row],[Sales_Amount]]&lt;100000,"Low")</f>
        <v>Low</v>
      </c>
      <c r="N602" t="str">
        <f>TEXT(Table1[[#This Row],[Order_Date]],"MMMM")</f>
        <v>February</v>
      </c>
      <c r="O602">
        <f>YEAR(Table1[[#This Row],[Order_Date]])</f>
        <v>2027</v>
      </c>
    </row>
    <row r="603" spans="1:15" x14ac:dyDescent="0.3">
      <c r="A603" t="s">
        <v>634</v>
      </c>
      <c r="B603" s="1">
        <v>46422</v>
      </c>
      <c r="C603" t="s">
        <v>12</v>
      </c>
      <c r="D603" t="s">
        <v>56</v>
      </c>
      <c r="E603" t="s">
        <v>22</v>
      </c>
      <c r="F603" s="3">
        <v>10</v>
      </c>
      <c r="G603" s="4">
        <v>18134</v>
      </c>
      <c r="H603" s="4">
        <v>181340</v>
      </c>
      <c r="I603" s="4">
        <v>118747.84</v>
      </c>
      <c r="J603" s="4">
        <v>62592.160000000003</v>
      </c>
      <c r="K603" t="s">
        <v>23</v>
      </c>
      <c r="L603" s="3">
        <f>(Table1[[#This Row],[Profit]]/Table1[[#This Row],[Sales_Amount]])*100</f>
        <v>34.516466306385794</v>
      </c>
      <c r="M603" s="4" t="str" cm="1">
        <f t="array" ref="M603">_xlfn.IFS(Table1[[#This Row],[Sales_Amount]]&gt;200000,"High",AND(Table1[[#This Row],[Sales_Amount]]&gt;100000,Table1[[#This Row],[Sales_Amount]]&lt;200000),"Medium",Table1[[#This Row],[Sales_Amount]]&lt;100000,"Low")</f>
        <v>Medium</v>
      </c>
      <c r="N603" t="str">
        <f>TEXT(Table1[[#This Row],[Order_Date]],"MMMM")</f>
        <v>February</v>
      </c>
      <c r="O603">
        <f>YEAR(Table1[[#This Row],[Order_Date]])</f>
        <v>2027</v>
      </c>
    </row>
    <row r="604" spans="1:15" x14ac:dyDescent="0.3">
      <c r="A604" t="s">
        <v>635</v>
      </c>
      <c r="B604" s="1">
        <v>46423</v>
      </c>
      <c r="C604" t="s">
        <v>12</v>
      </c>
      <c r="D604" t="s">
        <v>51</v>
      </c>
      <c r="E604" t="s">
        <v>19</v>
      </c>
      <c r="F604" s="3">
        <v>4</v>
      </c>
      <c r="G604" s="4">
        <v>17893</v>
      </c>
      <c r="H604" s="4">
        <v>71572</v>
      </c>
      <c r="I604" s="4">
        <v>47383.07</v>
      </c>
      <c r="J604" s="4">
        <v>24188.93</v>
      </c>
      <c r="K604" t="s">
        <v>26</v>
      </c>
      <c r="L604" s="3">
        <f>(Table1[[#This Row],[Profit]]/Table1[[#This Row],[Sales_Amount]])*100</f>
        <v>33.796638350192815</v>
      </c>
      <c r="M604" s="4" t="str" cm="1">
        <f t="array" ref="M604">_xlfn.IFS(Table1[[#This Row],[Sales_Amount]]&gt;200000,"High",AND(Table1[[#This Row],[Sales_Amount]]&gt;100000,Table1[[#This Row],[Sales_Amount]]&lt;200000),"Medium",Table1[[#This Row],[Sales_Amount]]&lt;100000,"Low")</f>
        <v>Low</v>
      </c>
      <c r="N604" t="str">
        <f>TEXT(Table1[[#This Row],[Order_Date]],"MMMM")</f>
        <v>February</v>
      </c>
      <c r="O604">
        <f>YEAR(Table1[[#This Row],[Order_Date]])</f>
        <v>2027</v>
      </c>
    </row>
    <row r="605" spans="1:15" x14ac:dyDescent="0.3">
      <c r="A605" t="s">
        <v>636</v>
      </c>
      <c r="B605" s="1">
        <v>46424</v>
      </c>
      <c r="C605" t="s">
        <v>28</v>
      </c>
      <c r="D605" t="s">
        <v>18</v>
      </c>
      <c r="E605" t="s">
        <v>14</v>
      </c>
      <c r="F605" s="3">
        <v>2</v>
      </c>
      <c r="G605" s="4">
        <v>5643</v>
      </c>
      <c r="H605" s="4">
        <v>11286</v>
      </c>
      <c r="I605" s="4">
        <v>9059.76</v>
      </c>
      <c r="J605" s="4">
        <v>2226.2399999999998</v>
      </c>
      <c r="K605" t="s">
        <v>15</v>
      </c>
      <c r="L605" s="3">
        <f>(Table1[[#This Row],[Profit]]/Table1[[#This Row],[Sales_Amount]])*100</f>
        <v>19.725677830940988</v>
      </c>
      <c r="M605" s="4" t="str" cm="1">
        <f t="array" ref="M605">_xlfn.IFS(Table1[[#This Row],[Sales_Amount]]&gt;200000,"High",AND(Table1[[#This Row],[Sales_Amount]]&gt;100000,Table1[[#This Row],[Sales_Amount]]&lt;200000),"Medium",Table1[[#This Row],[Sales_Amount]]&lt;100000,"Low")</f>
        <v>Low</v>
      </c>
      <c r="N605" t="str">
        <f>TEXT(Table1[[#This Row],[Order_Date]],"MMMM")</f>
        <v>February</v>
      </c>
      <c r="O605">
        <f>YEAR(Table1[[#This Row],[Order_Date]])</f>
        <v>2027</v>
      </c>
    </row>
    <row r="606" spans="1:15" x14ac:dyDescent="0.3">
      <c r="A606" t="s">
        <v>637</v>
      </c>
      <c r="B606" s="1">
        <v>46425</v>
      </c>
      <c r="C606" t="s">
        <v>40</v>
      </c>
      <c r="D606" t="s">
        <v>56</v>
      </c>
      <c r="E606" t="s">
        <v>32</v>
      </c>
      <c r="F606" s="3">
        <v>10</v>
      </c>
      <c r="G606" s="4">
        <v>21171</v>
      </c>
      <c r="H606" s="4">
        <v>211710</v>
      </c>
      <c r="I606" s="4">
        <v>158296.01</v>
      </c>
      <c r="J606" s="4">
        <v>53413.99</v>
      </c>
      <c r="K606" t="s">
        <v>23</v>
      </c>
      <c r="L606" s="3">
        <f>(Table1[[#This Row],[Profit]]/Table1[[#This Row],[Sales_Amount]])*100</f>
        <v>25.229790751499692</v>
      </c>
      <c r="M606" s="4" t="str" cm="1">
        <f t="array" ref="M606">_xlfn.IFS(Table1[[#This Row],[Sales_Amount]]&gt;200000,"High",AND(Table1[[#This Row],[Sales_Amount]]&gt;100000,Table1[[#This Row],[Sales_Amount]]&lt;200000),"Medium",Table1[[#This Row],[Sales_Amount]]&lt;100000,"Low")</f>
        <v>High</v>
      </c>
      <c r="N606" t="str">
        <f>TEXT(Table1[[#This Row],[Order_Date]],"MMMM")</f>
        <v>February</v>
      </c>
      <c r="O606">
        <f>YEAR(Table1[[#This Row],[Order_Date]])</f>
        <v>2027</v>
      </c>
    </row>
    <row r="607" spans="1:15" x14ac:dyDescent="0.3">
      <c r="A607" t="s">
        <v>638</v>
      </c>
      <c r="B607" s="1">
        <v>46426</v>
      </c>
      <c r="C607" t="s">
        <v>12</v>
      </c>
      <c r="D607" t="s">
        <v>18</v>
      </c>
      <c r="E607" t="s">
        <v>32</v>
      </c>
      <c r="F607" s="3">
        <v>7</v>
      </c>
      <c r="G607" s="4">
        <v>15055</v>
      </c>
      <c r="H607" s="4">
        <v>105385</v>
      </c>
      <c r="I607" s="4">
        <v>86947.98</v>
      </c>
      <c r="J607" s="4">
        <v>18437.02</v>
      </c>
      <c r="K607" t="s">
        <v>58</v>
      </c>
      <c r="L607" s="3">
        <f>(Table1[[#This Row],[Profit]]/Table1[[#This Row],[Sales_Amount]])*100</f>
        <v>17.494918631683827</v>
      </c>
      <c r="M607" s="4" t="str" cm="1">
        <f t="array" ref="M607">_xlfn.IFS(Table1[[#This Row],[Sales_Amount]]&gt;200000,"High",AND(Table1[[#This Row],[Sales_Amount]]&gt;100000,Table1[[#This Row],[Sales_Amount]]&lt;200000),"Medium",Table1[[#This Row],[Sales_Amount]]&lt;100000,"Low")</f>
        <v>Medium</v>
      </c>
      <c r="N607" t="str">
        <f>TEXT(Table1[[#This Row],[Order_Date]],"MMMM")</f>
        <v>February</v>
      </c>
      <c r="O607">
        <f>YEAR(Table1[[#This Row],[Order_Date]])</f>
        <v>2027</v>
      </c>
    </row>
    <row r="608" spans="1:15" x14ac:dyDescent="0.3">
      <c r="A608" t="s">
        <v>639</v>
      </c>
      <c r="B608" s="1">
        <v>46427</v>
      </c>
      <c r="C608" t="s">
        <v>12</v>
      </c>
      <c r="D608" t="s">
        <v>56</v>
      </c>
      <c r="E608" t="s">
        <v>25</v>
      </c>
      <c r="F608" s="3">
        <v>1</v>
      </c>
      <c r="G608" s="4">
        <v>33430</v>
      </c>
      <c r="H608" s="4">
        <v>33430</v>
      </c>
      <c r="I608" s="4">
        <v>23540.959999999999</v>
      </c>
      <c r="J608" s="4">
        <v>9889.0400000000009</v>
      </c>
      <c r="K608" t="s">
        <v>15</v>
      </c>
      <c r="L608" s="3">
        <f>(Table1[[#This Row],[Profit]]/Table1[[#This Row],[Sales_Amount]])*100</f>
        <v>29.581334131020043</v>
      </c>
      <c r="M608" s="4" t="str" cm="1">
        <f t="array" ref="M608">_xlfn.IFS(Table1[[#This Row],[Sales_Amount]]&gt;200000,"High",AND(Table1[[#This Row],[Sales_Amount]]&gt;100000,Table1[[#This Row],[Sales_Amount]]&lt;200000),"Medium",Table1[[#This Row],[Sales_Amount]]&lt;100000,"Low")</f>
        <v>Low</v>
      </c>
      <c r="N608" t="str">
        <f>TEXT(Table1[[#This Row],[Order_Date]],"MMMM")</f>
        <v>February</v>
      </c>
      <c r="O608">
        <f>YEAR(Table1[[#This Row],[Order_Date]])</f>
        <v>2027</v>
      </c>
    </row>
    <row r="609" spans="1:15" x14ac:dyDescent="0.3">
      <c r="A609" t="s">
        <v>640</v>
      </c>
      <c r="B609" s="1">
        <v>46428</v>
      </c>
      <c r="C609" t="s">
        <v>17</v>
      </c>
      <c r="D609" t="s">
        <v>51</v>
      </c>
      <c r="E609" t="s">
        <v>25</v>
      </c>
      <c r="F609" s="3">
        <v>8</v>
      </c>
      <c r="G609" s="4">
        <v>21186</v>
      </c>
      <c r="H609" s="4">
        <v>169488</v>
      </c>
      <c r="I609" s="4">
        <v>136736.68</v>
      </c>
      <c r="J609" s="4">
        <v>32751.32</v>
      </c>
      <c r="K609" t="s">
        <v>58</v>
      </c>
      <c r="L609" s="3">
        <f>(Table1[[#This Row],[Profit]]/Table1[[#This Row],[Sales_Amount]])*100</f>
        <v>19.323680732559236</v>
      </c>
      <c r="M609" s="4" t="str" cm="1">
        <f t="array" ref="M609">_xlfn.IFS(Table1[[#This Row],[Sales_Amount]]&gt;200000,"High",AND(Table1[[#This Row],[Sales_Amount]]&gt;100000,Table1[[#This Row],[Sales_Amount]]&lt;200000),"Medium",Table1[[#This Row],[Sales_Amount]]&lt;100000,"Low")</f>
        <v>Medium</v>
      </c>
      <c r="N609" t="str">
        <f>TEXT(Table1[[#This Row],[Order_Date]],"MMMM")</f>
        <v>February</v>
      </c>
      <c r="O609">
        <f>YEAR(Table1[[#This Row],[Order_Date]])</f>
        <v>2027</v>
      </c>
    </row>
    <row r="610" spans="1:15" x14ac:dyDescent="0.3">
      <c r="A610" t="s">
        <v>641</v>
      </c>
      <c r="B610" s="1">
        <v>46429</v>
      </c>
      <c r="C610" t="s">
        <v>40</v>
      </c>
      <c r="D610" t="s">
        <v>13</v>
      </c>
      <c r="E610" t="s">
        <v>14</v>
      </c>
      <c r="F610" s="3">
        <v>6</v>
      </c>
      <c r="G610" s="4">
        <v>24197</v>
      </c>
      <c r="H610" s="4">
        <v>145182</v>
      </c>
      <c r="I610" s="4">
        <v>113798.5</v>
      </c>
      <c r="J610" s="4">
        <v>31383.5</v>
      </c>
      <c r="K610" t="s">
        <v>26</v>
      </c>
      <c r="L610" s="3">
        <f>(Table1[[#This Row],[Profit]]/Table1[[#This Row],[Sales_Amount]])*100</f>
        <v>21.616660467551075</v>
      </c>
      <c r="M610" s="4" t="str" cm="1">
        <f t="array" ref="M610">_xlfn.IFS(Table1[[#This Row],[Sales_Amount]]&gt;200000,"High",AND(Table1[[#This Row],[Sales_Amount]]&gt;100000,Table1[[#This Row],[Sales_Amount]]&lt;200000),"Medium",Table1[[#This Row],[Sales_Amount]]&lt;100000,"Low")</f>
        <v>Medium</v>
      </c>
      <c r="N610" t="str">
        <f>TEXT(Table1[[#This Row],[Order_Date]],"MMMM")</f>
        <v>February</v>
      </c>
      <c r="O610">
        <f>YEAR(Table1[[#This Row],[Order_Date]])</f>
        <v>2027</v>
      </c>
    </row>
    <row r="611" spans="1:15" x14ac:dyDescent="0.3">
      <c r="A611" t="s">
        <v>642</v>
      </c>
      <c r="B611" s="1">
        <v>46430</v>
      </c>
      <c r="C611" t="s">
        <v>12</v>
      </c>
      <c r="D611" t="s">
        <v>56</v>
      </c>
      <c r="E611" t="s">
        <v>32</v>
      </c>
      <c r="F611" s="3">
        <v>8</v>
      </c>
      <c r="G611" s="4">
        <v>40679</v>
      </c>
      <c r="H611" s="4">
        <v>325432</v>
      </c>
      <c r="I611" s="4">
        <v>228755.57</v>
      </c>
      <c r="J611" s="4">
        <v>96676.43</v>
      </c>
      <c r="K611" t="s">
        <v>58</v>
      </c>
      <c r="L611" s="3">
        <f>(Table1[[#This Row],[Profit]]/Table1[[#This Row],[Sales_Amount]])*100</f>
        <v>29.707106246466235</v>
      </c>
      <c r="M611" s="4" t="str" cm="1">
        <f t="array" ref="M611">_xlfn.IFS(Table1[[#This Row],[Sales_Amount]]&gt;200000,"High",AND(Table1[[#This Row],[Sales_Amount]]&gt;100000,Table1[[#This Row],[Sales_Amount]]&lt;200000),"Medium",Table1[[#This Row],[Sales_Amount]]&lt;100000,"Low")</f>
        <v>High</v>
      </c>
      <c r="N611" t="str">
        <f>TEXT(Table1[[#This Row],[Order_Date]],"MMMM")</f>
        <v>February</v>
      </c>
      <c r="O611">
        <f>YEAR(Table1[[#This Row],[Order_Date]])</f>
        <v>2027</v>
      </c>
    </row>
    <row r="612" spans="1:15" x14ac:dyDescent="0.3">
      <c r="A612" t="s">
        <v>643</v>
      </c>
      <c r="B612" s="1">
        <v>46431</v>
      </c>
      <c r="C612" t="s">
        <v>40</v>
      </c>
      <c r="D612" t="s">
        <v>56</v>
      </c>
      <c r="E612" t="s">
        <v>37</v>
      </c>
      <c r="F612" s="3">
        <v>6</v>
      </c>
      <c r="G612" s="4">
        <v>24425</v>
      </c>
      <c r="H612" s="4">
        <v>146550</v>
      </c>
      <c r="I612" s="4">
        <v>125490.45</v>
      </c>
      <c r="J612" s="4">
        <v>21059.55</v>
      </c>
      <c r="K612" t="s">
        <v>23</v>
      </c>
      <c r="L612" s="3">
        <f>(Table1[[#This Row],[Profit]]/Table1[[#This Row],[Sales_Amount]])*100</f>
        <v>14.37021494370522</v>
      </c>
      <c r="M612" s="4" t="str" cm="1">
        <f t="array" ref="M612">_xlfn.IFS(Table1[[#This Row],[Sales_Amount]]&gt;200000,"High",AND(Table1[[#This Row],[Sales_Amount]]&gt;100000,Table1[[#This Row],[Sales_Amount]]&lt;200000),"Medium",Table1[[#This Row],[Sales_Amount]]&lt;100000,"Low")</f>
        <v>Medium</v>
      </c>
      <c r="N612" t="str">
        <f>TEXT(Table1[[#This Row],[Order_Date]],"MMMM")</f>
        <v>February</v>
      </c>
      <c r="O612">
        <f>YEAR(Table1[[#This Row],[Order_Date]])</f>
        <v>2027</v>
      </c>
    </row>
    <row r="613" spans="1:15" x14ac:dyDescent="0.3">
      <c r="A613" t="s">
        <v>644</v>
      </c>
      <c r="B613" s="1">
        <v>46432</v>
      </c>
      <c r="C613" t="s">
        <v>17</v>
      </c>
      <c r="D613" t="s">
        <v>44</v>
      </c>
      <c r="E613" t="s">
        <v>22</v>
      </c>
      <c r="F613" s="3">
        <v>10</v>
      </c>
      <c r="G613" s="4">
        <v>45458</v>
      </c>
      <c r="H613" s="4">
        <v>454580</v>
      </c>
      <c r="I613" s="4">
        <v>303918.56</v>
      </c>
      <c r="J613" s="4">
        <v>150661.44</v>
      </c>
      <c r="K613" t="s">
        <v>23</v>
      </c>
      <c r="L613" s="3">
        <f>(Table1[[#This Row],[Profit]]/Table1[[#This Row],[Sales_Amount]])*100</f>
        <v>33.142997932157158</v>
      </c>
      <c r="M613" s="4" t="str" cm="1">
        <f t="array" ref="M613">_xlfn.IFS(Table1[[#This Row],[Sales_Amount]]&gt;200000,"High",AND(Table1[[#This Row],[Sales_Amount]]&gt;100000,Table1[[#This Row],[Sales_Amount]]&lt;200000),"Medium",Table1[[#This Row],[Sales_Amount]]&lt;100000,"Low")</f>
        <v>High</v>
      </c>
      <c r="N613" t="str">
        <f>TEXT(Table1[[#This Row],[Order_Date]],"MMMM")</f>
        <v>February</v>
      </c>
      <c r="O613">
        <f>YEAR(Table1[[#This Row],[Order_Date]])</f>
        <v>2027</v>
      </c>
    </row>
    <row r="614" spans="1:15" x14ac:dyDescent="0.3">
      <c r="A614" t="s">
        <v>645</v>
      </c>
      <c r="B614" s="1">
        <v>46433</v>
      </c>
      <c r="C614" t="s">
        <v>12</v>
      </c>
      <c r="D614" t="s">
        <v>56</v>
      </c>
      <c r="E614" t="s">
        <v>37</v>
      </c>
      <c r="F614" s="3">
        <v>7</v>
      </c>
      <c r="G614" s="4">
        <v>13349</v>
      </c>
      <c r="H614" s="4">
        <v>93443</v>
      </c>
      <c r="I614" s="4">
        <v>60154.22</v>
      </c>
      <c r="J614" s="4">
        <v>33288.78</v>
      </c>
      <c r="K614" t="s">
        <v>15</v>
      </c>
      <c r="L614" s="3">
        <f>(Table1[[#This Row],[Profit]]/Table1[[#This Row],[Sales_Amount]])*100</f>
        <v>35.624690988088993</v>
      </c>
      <c r="M614" s="4" t="str" cm="1">
        <f t="array" ref="M614">_xlfn.IFS(Table1[[#This Row],[Sales_Amount]]&gt;200000,"High",AND(Table1[[#This Row],[Sales_Amount]]&gt;100000,Table1[[#This Row],[Sales_Amount]]&lt;200000),"Medium",Table1[[#This Row],[Sales_Amount]]&lt;100000,"Low")</f>
        <v>Low</v>
      </c>
      <c r="N614" t="str">
        <f>TEXT(Table1[[#This Row],[Order_Date]],"MMMM")</f>
        <v>February</v>
      </c>
      <c r="O614">
        <f>YEAR(Table1[[#This Row],[Order_Date]])</f>
        <v>2027</v>
      </c>
    </row>
    <row r="615" spans="1:15" x14ac:dyDescent="0.3">
      <c r="A615" t="s">
        <v>646</v>
      </c>
      <c r="B615" s="1">
        <v>46434</v>
      </c>
      <c r="C615" t="s">
        <v>40</v>
      </c>
      <c r="D615" t="s">
        <v>56</v>
      </c>
      <c r="E615" t="s">
        <v>37</v>
      </c>
      <c r="F615" s="3">
        <v>8</v>
      </c>
      <c r="G615" s="4">
        <v>9312</v>
      </c>
      <c r="H615" s="4">
        <v>74496</v>
      </c>
      <c r="I615" s="4">
        <v>66947.210000000006</v>
      </c>
      <c r="J615" s="4">
        <v>7548.79</v>
      </c>
      <c r="K615" t="s">
        <v>26</v>
      </c>
      <c r="L615" s="3">
        <f>(Table1[[#This Row],[Profit]]/Table1[[#This Row],[Sales_Amount]])*100</f>
        <v>10.133148088487973</v>
      </c>
      <c r="M615" s="4" t="str" cm="1">
        <f t="array" ref="M615">_xlfn.IFS(Table1[[#This Row],[Sales_Amount]]&gt;200000,"High",AND(Table1[[#This Row],[Sales_Amount]]&gt;100000,Table1[[#This Row],[Sales_Amount]]&lt;200000),"Medium",Table1[[#This Row],[Sales_Amount]]&lt;100000,"Low")</f>
        <v>Low</v>
      </c>
      <c r="N615" t="str">
        <f>TEXT(Table1[[#This Row],[Order_Date]],"MMMM")</f>
        <v>February</v>
      </c>
      <c r="O615">
        <f>YEAR(Table1[[#This Row],[Order_Date]])</f>
        <v>2027</v>
      </c>
    </row>
    <row r="616" spans="1:15" x14ac:dyDescent="0.3">
      <c r="A616" t="s">
        <v>647</v>
      </c>
      <c r="B616" s="1">
        <v>46435</v>
      </c>
      <c r="C616" t="s">
        <v>12</v>
      </c>
      <c r="D616" t="s">
        <v>18</v>
      </c>
      <c r="E616" t="s">
        <v>25</v>
      </c>
      <c r="F616" s="3">
        <v>10</v>
      </c>
      <c r="G616" s="4">
        <v>3626</v>
      </c>
      <c r="H616" s="4">
        <v>36260</v>
      </c>
      <c r="I616" s="4">
        <v>26089.82</v>
      </c>
      <c r="J616" s="4">
        <v>10170.18</v>
      </c>
      <c r="K616" t="s">
        <v>23</v>
      </c>
      <c r="L616" s="3">
        <f>(Table1[[#This Row],[Profit]]/Table1[[#This Row],[Sales_Amount]])*100</f>
        <v>28.04793160507446</v>
      </c>
      <c r="M616" s="4" t="str" cm="1">
        <f t="array" ref="M616">_xlfn.IFS(Table1[[#This Row],[Sales_Amount]]&gt;200000,"High",AND(Table1[[#This Row],[Sales_Amount]]&gt;100000,Table1[[#This Row],[Sales_Amount]]&lt;200000),"Medium",Table1[[#This Row],[Sales_Amount]]&lt;100000,"Low")</f>
        <v>Low</v>
      </c>
      <c r="N616" t="str">
        <f>TEXT(Table1[[#This Row],[Order_Date]],"MMMM")</f>
        <v>February</v>
      </c>
      <c r="O616">
        <f>YEAR(Table1[[#This Row],[Order_Date]])</f>
        <v>2027</v>
      </c>
    </row>
    <row r="617" spans="1:15" x14ac:dyDescent="0.3">
      <c r="A617" t="s">
        <v>648</v>
      </c>
      <c r="B617" s="1">
        <v>46436</v>
      </c>
      <c r="C617" t="s">
        <v>40</v>
      </c>
      <c r="D617" t="s">
        <v>34</v>
      </c>
      <c r="E617" t="s">
        <v>37</v>
      </c>
      <c r="F617" s="3">
        <v>2</v>
      </c>
      <c r="G617" s="4">
        <v>29981</v>
      </c>
      <c r="H617" s="4">
        <v>59962</v>
      </c>
      <c r="I617" s="4">
        <v>49371.39</v>
      </c>
      <c r="J617" s="4">
        <v>10590.61</v>
      </c>
      <c r="K617" t="s">
        <v>26</v>
      </c>
      <c r="L617" s="3">
        <f>(Table1[[#This Row],[Profit]]/Table1[[#This Row],[Sales_Amount]])*100</f>
        <v>17.662202728394654</v>
      </c>
      <c r="M617" s="4" t="str" cm="1">
        <f t="array" ref="M617">_xlfn.IFS(Table1[[#This Row],[Sales_Amount]]&gt;200000,"High",AND(Table1[[#This Row],[Sales_Amount]]&gt;100000,Table1[[#This Row],[Sales_Amount]]&lt;200000),"Medium",Table1[[#This Row],[Sales_Amount]]&lt;100000,"Low")</f>
        <v>Low</v>
      </c>
      <c r="N617" t="str">
        <f>TEXT(Table1[[#This Row],[Order_Date]],"MMMM")</f>
        <v>February</v>
      </c>
      <c r="O617">
        <f>YEAR(Table1[[#This Row],[Order_Date]])</f>
        <v>2027</v>
      </c>
    </row>
    <row r="618" spans="1:15" x14ac:dyDescent="0.3">
      <c r="A618" t="s">
        <v>649</v>
      </c>
      <c r="B618" s="1">
        <v>46437</v>
      </c>
      <c r="C618" t="s">
        <v>17</v>
      </c>
      <c r="D618" t="s">
        <v>34</v>
      </c>
      <c r="E618" t="s">
        <v>25</v>
      </c>
      <c r="F618" s="3">
        <v>5</v>
      </c>
      <c r="G618" s="4">
        <v>23053</v>
      </c>
      <c r="H618" s="4">
        <v>115265</v>
      </c>
      <c r="I618" s="4">
        <v>69844.899999999994</v>
      </c>
      <c r="J618" s="4">
        <v>45420.1</v>
      </c>
      <c r="K618" t="s">
        <v>23</v>
      </c>
      <c r="L618" s="3">
        <f>(Table1[[#This Row],[Profit]]/Table1[[#This Row],[Sales_Amount]])*100</f>
        <v>39.404936450787318</v>
      </c>
      <c r="M618" s="4" t="str" cm="1">
        <f t="array" ref="M618">_xlfn.IFS(Table1[[#This Row],[Sales_Amount]]&gt;200000,"High",AND(Table1[[#This Row],[Sales_Amount]]&gt;100000,Table1[[#This Row],[Sales_Amount]]&lt;200000),"Medium",Table1[[#This Row],[Sales_Amount]]&lt;100000,"Low")</f>
        <v>Medium</v>
      </c>
      <c r="N618" t="str">
        <f>TEXT(Table1[[#This Row],[Order_Date]],"MMMM")</f>
        <v>February</v>
      </c>
      <c r="O618">
        <f>YEAR(Table1[[#This Row],[Order_Date]])</f>
        <v>2027</v>
      </c>
    </row>
    <row r="619" spans="1:15" x14ac:dyDescent="0.3">
      <c r="A619" t="s">
        <v>650</v>
      </c>
      <c r="B619" s="1">
        <v>46438</v>
      </c>
      <c r="C619" t="s">
        <v>40</v>
      </c>
      <c r="D619" t="s">
        <v>34</v>
      </c>
      <c r="E619" t="s">
        <v>25</v>
      </c>
      <c r="F619" s="3">
        <v>9</v>
      </c>
      <c r="G619" s="4">
        <v>11938</v>
      </c>
      <c r="H619" s="4">
        <v>107442</v>
      </c>
      <c r="I619" s="4">
        <v>96032.94</v>
      </c>
      <c r="J619" s="4">
        <v>11409.06</v>
      </c>
      <c r="K619" t="s">
        <v>26</v>
      </c>
      <c r="L619" s="3">
        <f>(Table1[[#This Row],[Profit]]/Table1[[#This Row],[Sales_Amount]])*100</f>
        <v>10.618808287261965</v>
      </c>
      <c r="M619" s="4" t="str" cm="1">
        <f t="array" ref="M619">_xlfn.IFS(Table1[[#This Row],[Sales_Amount]]&gt;200000,"High",AND(Table1[[#This Row],[Sales_Amount]]&gt;100000,Table1[[#This Row],[Sales_Amount]]&lt;200000),"Medium",Table1[[#This Row],[Sales_Amount]]&lt;100000,"Low")</f>
        <v>Medium</v>
      </c>
      <c r="N619" t="str">
        <f>TEXT(Table1[[#This Row],[Order_Date]],"MMMM")</f>
        <v>February</v>
      </c>
      <c r="O619">
        <f>YEAR(Table1[[#This Row],[Order_Date]])</f>
        <v>2027</v>
      </c>
    </row>
    <row r="620" spans="1:15" x14ac:dyDescent="0.3">
      <c r="A620" t="s">
        <v>651</v>
      </c>
      <c r="B620" s="1">
        <v>46439</v>
      </c>
      <c r="C620" t="s">
        <v>17</v>
      </c>
      <c r="D620" t="s">
        <v>21</v>
      </c>
      <c r="E620" t="s">
        <v>25</v>
      </c>
      <c r="F620" s="3">
        <v>8</v>
      </c>
      <c r="G620" s="4">
        <v>48768</v>
      </c>
      <c r="H620" s="4">
        <v>390144</v>
      </c>
      <c r="I620" s="4">
        <v>286396.53000000003</v>
      </c>
      <c r="J620" s="4">
        <v>103747.47</v>
      </c>
      <c r="K620" t="s">
        <v>26</v>
      </c>
      <c r="L620" s="3">
        <f>(Table1[[#This Row],[Profit]]/Table1[[#This Row],[Sales_Amount]])*100</f>
        <v>26.592096764271655</v>
      </c>
      <c r="M620" s="4" t="str" cm="1">
        <f t="array" ref="M620">_xlfn.IFS(Table1[[#This Row],[Sales_Amount]]&gt;200000,"High",AND(Table1[[#This Row],[Sales_Amount]]&gt;100000,Table1[[#This Row],[Sales_Amount]]&lt;200000),"Medium",Table1[[#This Row],[Sales_Amount]]&lt;100000,"Low")</f>
        <v>High</v>
      </c>
      <c r="N620" t="str">
        <f>TEXT(Table1[[#This Row],[Order_Date]],"MMMM")</f>
        <v>February</v>
      </c>
      <c r="O620">
        <f>YEAR(Table1[[#This Row],[Order_Date]])</f>
        <v>2027</v>
      </c>
    </row>
    <row r="621" spans="1:15" x14ac:dyDescent="0.3">
      <c r="A621" t="s">
        <v>652</v>
      </c>
      <c r="B621" s="1">
        <v>46440</v>
      </c>
      <c r="C621" t="s">
        <v>40</v>
      </c>
      <c r="D621" t="s">
        <v>21</v>
      </c>
      <c r="E621" t="s">
        <v>19</v>
      </c>
      <c r="F621" s="3">
        <v>3</v>
      </c>
      <c r="G621" s="4">
        <v>11482</v>
      </c>
      <c r="H621" s="4">
        <v>34446</v>
      </c>
      <c r="I621" s="4">
        <v>27287.23</v>
      </c>
      <c r="J621" s="4">
        <v>7158.77</v>
      </c>
      <c r="K621" t="s">
        <v>58</v>
      </c>
      <c r="L621" s="3">
        <f>(Table1[[#This Row],[Profit]]/Table1[[#This Row],[Sales_Amount]])*100</f>
        <v>20.782587237995706</v>
      </c>
      <c r="M621" s="4" t="str" cm="1">
        <f t="array" ref="M621">_xlfn.IFS(Table1[[#This Row],[Sales_Amount]]&gt;200000,"High",AND(Table1[[#This Row],[Sales_Amount]]&gt;100000,Table1[[#This Row],[Sales_Amount]]&lt;200000),"Medium",Table1[[#This Row],[Sales_Amount]]&lt;100000,"Low")</f>
        <v>Low</v>
      </c>
      <c r="N621" t="str">
        <f>TEXT(Table1[[#This Row],[Order_Date]],"MMMM")</f>
        <v>February</v>
      </c>
      <c r="O621">
        <f>YEAR(Table1[[#This Row],[Order_Date]])</f>
        <v>2027</v>
      </c>
    </row>
    <row r="622" spans="1:15" x14ac:dyDescent="0.3">
      <c r="A622" t="s">
        <v>653</v>
      </c>
      <c r="B622" s="1">
        <v>46441</v>
      </c>
      <c r="C622" t="s">
        <v>40</v>
      </c>
      <c r="D622" t="s">
        <v>44</v>
      </c>
      <c r="E622" t="s">
        <v>14</v>
      </c>
      <c r="F622" s="3">
        <v>3</v>
      </c>
      <c r="G622" s="4">
        <v>23019</v>
      </c>
      <c r="H622" s="4">
        <v>69057</v>
      </c>
      <c r="I622" s="4">
        <v>46162.21</v>
      </c>
      <c r="J622" s="4">
        <v>22894.79</v>
      </c>
      <c r="K622" t="s">
        <v>26</v>
      </c>
      <c r="L622" s="3">
        <f>(Table1[[#This Row],[Profit]]/Table1[[#This Row],[Sales_Amount]])*100</f>
        <v>33.153467425460128</v>
      </c>
      <c r="M622" s="4" t="str" cm="1">
        <f t="array" ref="M622">_xlfn.IFS(Table1[[#This Row],[Sales_Amount]]&gt;200000,"High",AND(Table1[[#This Row],[Sales_Amount]]&gt;100000,Table1[[#This Row],[Sales_Amount]]&lt;200000),"Medium",Table1[[#This Row],[Sales_Amount]]&lt;100000,"Low")</f>
        <v>Low</v>
      </c>
      <c r="N622" t="str">
        <f>TEXT(Table1[[#This Row],[Order_Date]],"MMMM")</f>
        <v>February</v>
      </c>
      <c r="O622">
        <f>YEAR(Table1[[#This Row],[Order_Date]])</f>
        <v>2027</v>
      </c>
    </row>
    <row r="623" spans="1:15" x14ac:dyDescent="0.3">
      <c r="A623" t="s">
        <v>654</v>
      </c>
      <c r="B623" s="1">
        <v>46442</v>
      </c>
      <c r="C623" t="s">
        <v>40</v>
      </c>
      <c r="D623" t="s">
        <v>56</v>
      </c>
      <c r="E623" t="s">
        <v>19</v>
      </c>
      <c r="F623" s="3">
        <v>7</v>
      </c>
      <c r="G623" s="4">
        <v>18276</v>
      </c>
      <c r="H623" s="4">
        <v>127932</v>
      </c>
      <c r="I623" s="4">
        <v>110828.46</v>
      </c>
      <c r="J623" s="4">
        <v>17103.54</v>
      </c>
      <c r="K623" t="s">
        <v>58</v>
      </c>
      <c r="L623" s="3">
        <f>(Table1[[#This Row],[Profit]]/Table1[[#This Row],[Sales_Amount]])*100</f>
        <v>13.369243035362539</v>
      </c>
      <c r="M623" s="4" t="str" cm="1">
        <f t="array" ref="M623">_xlfn.IFS(Table1[[#This Row],[Sales_Amount]]&gt;200000,"High",AND(Table1[[#This Row],[Sales_Amount]]&gt;100000,Table1[[#This Row],[Sales_Amount]]&lt;200000),"Medium",Table1[[#This Row],[Sales_Amount]]&lt;100000,"Low")</f>
        <v>Medium</v>
      </c>
      <c r="N623" t="str">
        <f>TEXT(Table1[[#This Row],[Order_Date]],"MMMM")</f>
        <v>February</v>
      </c>
      <c r="O623">
        <f>YEAR(Table1[[#This Row],[Order_Date]])</f>
        <v>2027</v>
      </c>
    </row>
    <row r="624" spans="1:15" x14ac:dyDescent="0.3">
      <c r="A624" t="s">
        <v>655</v>
      </c>
      <c r="B624" s="1">
        <v>46443</v>
      </c>
      <c r="C624" t="s">
        <v>40</v>
      </c>
      <c r="D624" t="s">
        <v>29</v>
      </c>
      <c r="E624" t="s">
        <v>22</v>
      </c>
      <c r="F624" s="3">
        <v>1</v>
      </c>
      <c r="G624" s="4">
        <v>8694</v>
      </c>
      <c r="H624" s="4">
        <v>8694</v>
      </c>
      <c r="I624" s="4">
        <v>7114.58</v>
      </c>
      <c r="J624" s="4">
        <v>1579.42</v>
      </c>
      <c r="K624" t="s">
        <v>23</v>
      </c>
      <c r="L624" s="3">
        <f>(Table1[[#This Row],[Profit]]/Table1[[#This Row],[Sales_Amount]])*100</f>
        <v>18.166781688520821</v>
      </c>
      <c r="M624" s="4" t="str" cm="1">
        <f t="array" ref="M624">_xlfn.IFS(Table1[[#This Row],[Sales_Amount]]&gt;200000,"High",AND(Table1[[#This Row],[Sales_Amount]]&gt;100000,Table1[[#This Row],[Sales_Amount]]&lt;200000),"Medium",Table1[[#This Row],[Sales_Amount]]&lt;100000,"Low")</f>
        <v>Low</v>
      </c>
      <c r="N624" t="str">
        <f>TEXT(Table1[[#This Row],[Order_Date]],"MMMM")</f>
        <v>February</v>
      </c>
      <c r="O624">
        <f>YEAR(Table1[[#This Row],[Order_Date]])</f>
        <v>2027</v>
      </c>
    </row>
    <row r="625" spans="1:15" x14ac:dyDescent="0.3">
      <c r="A625" t="s">
        <v>656</v>
      </c>
      <c r="B625" s="1">
        <v>46444</v>
      </c>
      <c r="C625" t="s">
        <v>28</v>
      </c>
      <c r="D625" t="s">
        <v>18</v>
      </c>
      <c r="E625" t="s">
        <v>37</v>
      </c>
      <c r="F625" s="3">
        <v>2</v>
      </c>
      <c r="G625" s="4">
        <v>6762</v>
      </c>
      <c r="H625" s="4">
        <v>13524</v>
      </c>
      <c r="I625" s="4">
        <v>8373.2199999999993</v>
      </c>
      <c r="J625" s="4">
        <v>5150.78</v>
      </c>
      <c r="K625" t="s">
        <v>15</v>
      </c>
      <c r="L625" s="3">
        <f>(Table1[[#This Row],[Profit]]/Table1[[#This Row],[Sales_Amount]])*100</f>
        <v>38.086217095533861</v>
      </c>
      <c r="M625" s="4" t="str" cm="1">
        <f t="array" ref="M625">_xlfn.IFS(Table1[[#This Row],[Sales_Amount]]&gt;200000,"High",AND(Table1[[#This Row],[Sales_Amount]]&gt;100000,Table1[[#This Row],[Sales_Amount]]&lt;200000),"Medium",Table1[[#This Row],[Sales_Amount]]&lt;100000,"Low")</f>
        <v>Low</v>
      </c>
      <c r="N625" t="str">
        <f>TEXT(Table1[[#This Row],[Order_Date]],"MMMM")</f>
        <v>February</v>
      </c>
      <c r="O625">
        <f>YEAR(Table1[[#This Row],[Order_Date]])</f>
        <v>2027</v>
      </c>
    </row>
    <row r="626" spans="1:15" x14ac:dyDescent="0.3">
      <c r="A626" t="s">
        <v>657</v>
      </c>
      <c r="B626" s="1">
        <v>46445</v>
      </c>
      <c r="C626" t="s">
        <v>12</v>
      </c>
      <c r="D626" t="s">
        <v>29</v>
      </c>
      <c r="E626" t="s">
        <v>25</v>
      </c>
      <c r="F626" s="3">
        <v>2</v>
      </c>
      <c r="G626" s="4">
        <v>7311</v>
      </c>
      <c r="H626" s="4">
        <v>14622</v>
      </c>
      <c r="I626" s="4">
        <v>9924.4699999999993</v>
      </c>
      <c r="J626" s="4">
        <v>4697.53</v>
      </c>
      <c r="K626" t="s">
        <v>58</v>
      </c>
      <c r="L626" s="3">
        <f>(Table1[[#This Row],[Profit]]/Table1[[#This Row],[Sales_Amount]])*100</f>
        <v>32.126453289563663</v>
      </c>
      <c r="M626" s="4" t="str" cm="1">
        <f t="array" ref="M626">_xlfn.IFS(Table1[[#This Row],[Sales_Amount]]&gt;200000,"High",AND(Table1[[#This Row],[Sales_Amount]]&gt;100000,Table1[[#This Row],[Sales_Amount]]&lt;200000),"Medium",Table1[[#This Row],[Sales_Amount]]&lt;100000,"Low")</f>
        <v>Low</v>
      </c>
      <c r="N626" t="str">
        <f>TEXT(Table1[[#This Row],[Order_Date]],"MMMM")</f>
        <v>February</v>
      </c>
      <c r="O626">
        <f>YEAR(Table1[[#This Row],[Order_Date]])</f>
        <v>2027</v>
      </c>
    </row>
    <row r="627" spans="1:15" x14ac:dyDescent="0.3">
      <c r="A627" t="s">
        <v>658</v>
      </c>
      <c r="B627" s="1">
        <v>46446</v>
      </c>
      <c r="C627" t="s">
        <v>12</v>
      </c>
      <c r="D627" t="s">
        <v>13</v>
      </c>
      <c r="E627" t="s">
        <v>22</v>
      </c>
      <c r="F627" s="3">
        <v>4</v>
      </c>
      <c r="G627" s="4">
        <v>48838</v>
      </c>
      <c r="H627" s="4">
        <v>195352</v>
      </c>
      <c r="I627" s="4">
        <v>133865.46</v>
      </c>
      <c r="J627" s="4">
        <v>61486.54</v>
      </c>
      <c r="K627" t="s">
        <v>23</v>
      </c>
      <c r="L627" s="3">
        <f>(Table1[[#This Row],[Profit]]/Table1[[#This Row],[Sales_Amount]])*100</f>
        <v>31.474743027970025</v>
      </c>
      <c r="M627" s="4" t="str" cm="1">
        <f t="array" ref="M627">_xlfn.IFS(Table1[[#This Row],[Sales_Amount]]&gt;200000,"High",AND(Table1[[#This Row],[Sales_Amount]]&gt;100000,Table1[[#This Row],[Sales_Amount]]&lt;200000),"Medium",Table1[[#This Row],[Sales_Amount]]&lt;100000,"Low")</f>
        <v>Medium</v>
      </c>
      <c r="N627" t="str">
        <f>TEXT(Table1[[#This Row],[Order_Date]],"MMMM")</f>
        <v>February</v>
      </c>
      <c r="O627">
        <f>YEAR(Table1[[#This Row],[Order_Date]])</f>
        <v>2027</v>
      </c>
    </row>
    <row r="628" spans="1:15" x14ac:dyDescent="0.3">
      <c r="A628" t="s">
        <v>659</v>
      </c>
      <c r="B628" s="1">
        <v>46447</v>
      </c>
      <c r="C628" t="s">
        <v>28</v>
      </c>
      <c r="D628" t="s">
        <v>44</v>
      </c>
      <c r="E628" t="s">
        <v>14</v>
      </c>
      <c r="F628" s="3">
        <v>6</v>
      </c>
      <c r="G628" s="4">
        <v>21812</v>
      </c>
      <c r="H628" s="4">
        <v>130872</v>
      </c>
      <c r="I628" s="4">
        <v>112454.69</v>
      </c>
      <c r="J628" s="4">
        <v>18417.310000000001</v>
      </c>
      <c r="K628" t="s">
        <v>58</v>
      </c>
      <c r="L628" s="3">
        <f>(Table1[[#This Row],[Profit]]/Table1[[#This Row],[Sales_Amount]])*100</f>
        <v>14.072765755853048</v>
      </c>
      <c r="M628" s="4" t="str" cm="1">
        <f t="array" ref="M628">_xlfn.IFS(Table1[[#This Row],[Sales_Amount]]&gt;200000,"High",AND(Table1[[#This Row],[Sales_Amount]]&gt;100000,Table1[[#This Row],[Sales_Amount]]&lt;200000),"Medium",Table1[[#This Row],[Sales_Amount]]&lt;100000,"Low")</f>
        <v>Medium</v>
      </c>
      <c r="N628" t="str">
        <f>TEXT(Table1[[#This Row],[Order_Date]],"MMMM")</f>
        <v>March</v>
      </c>
      <c r="O628">
        <f>YEAR(Table1[[#This Row],[Order_Date]])</f>
        <v>2027</v>
      </c>
    </row>
    <row r="629" spans="1:15" x14ac:dyDescent="0.3">
      <c r="A629" t="s">
        <v>660</v>
      </c>
      <c r="B629" s="1">
        <v>46448</v>
      </c>
      <c r="C629" t="s">
        <v>28</v>
      </c>
      <c r="D629" t="s">
        <v>21</v>
      </c>
      <c r="E629" t="s">
        <v>19</v>
      </c>
      <c r="F629" s="3">
        <v>9</v>
      </c>
      <c r="G629" s="4">
        <v>12102</v>
      </c>
      <c r="H629" s="4">
        <v>108918</v>
      </c>
      <c r="I629" s="4">
        <v>84656.44</v>
      </c>
      <c r="J629" s="4">
        <v>24261.56</v>
      </c>
      <c r="K629" t="s">
        <v>26</v>
      </c>
      <c r="L629" s="3">
        <f>(Table1[[#This Row],[Profit]]/Table1[[#This Row],[Sales_Amount]])*100</f>
        <v>22.275069318202686</v>
      </c>
      <c r="M629" s="4" t="str" cm="1">
        <f t="array" ref="M629">_xlfn.IFS(Table1[[#This Row],[Sales_Amount]]&gt;200000,"High",AND(Table1[[#This Row],[Sales_Amount]]&gt;100000,Table1[[#This Row],[Sales_Amount]]&lt;200000),"Medium",Table1[[#This Row],[Sales_Amount]]&lt;100000,"Low")</f>
        <v>Medium</v>
      </c>
      <c r="N629" t="str">
        <f>TEXT(Table1[[#This Row],[Order_Date]],"MMMM")</f>
        <v>March</v>
      </c>
      <c r="O629">
        <f>YEAR(Table1[[#This Row],[Order_Date]])</f>
        <v>2027</v>
      </c>
    </row>
    <row r="630" spans="1:15" x14ac:dyDescent="0.3">
      <c r="A630" t="s">
        <v>661</v>
      </c>
      <c r="B630" s="1">
        <v>46449</v>
      </c>
      <c r="C630" t="s">
        <v>28</v>
      </c>
      <c r="D630" t="s">
        <v>44</v>
      </c>
      <c r="E630" t="s">
        <v>37</v>
      </c>
      <c r="F630" s="3">
        <v>9</v>
      </c>
      <c r="G630" s="4">
        <v>15385</v>
      </c>
      <c r="H630" s="4">
        <v>138465</v>
      </c>
      <c r="I630" s="4">
        <v>116506.16</v>
      </c>
      <c r="J630" s="4">
        <v>21958.84</v>
      </c>
      <c r="K630" t="s">
        <v>26</v>
      </c>
      <c r="L630" s="3">
        <f>(Table1[[#This Row],[Profit]]/Table1[[#This Row],[Sales_Amount]])*100</f>
        <v>15.858765753078396</v>
      </c>
      <c r="M630" s="4" t="str" cm="1">
        <f t="array" ref="M630">_xlfn.IFS(Table1[[#This Row],[Sales_Amount]]&gt;200000,"High",AND(Table1[[#This Row],[Sales_Amount]]&gt;100000,Table1[[#This Row],[Sales_Amount]]&lt;200000),"Medium",Table1[[#This Row],[Sales_Amount]]&lt;100000,"Low")</f>
        <v>Medium</v>
      </c>
      <c r="N630" t="str">
        <f>TEXT(Table1[[#This Row],[Order_Date]],"MMMM")</f>
        <v>March</v>
      </c>
      <c r="O630">
        <f>YEAR(Table1[[#This Row],[Order_Date]])</f>
        <v>2027</v>
      </c>
    </row>
    <row r="631" spans="1:15" x14ac:dyDescent="0.3">
      <c r="A631" t="s">
        <v>662</v>
      </c>
      <c r="B631" s="1">
        <v>46450</v>
      </c>
      <c r="C631" t="s">
        <v>12</v>
      </c>
      <c r="D631" t="s">
        <v>34</v>
      </c>
      <c r="E631" t="s">
        <v>32</v>
      </c>
      <c r="F631" s="3">
        <v>3</v>
      </c>
      <c r="G631" s="4">
        <v>20394</v>
      </c>
      <c r="H631" s="4">
        <v>61182</v>
      </c>
      <c r="I631" s="4">
        <v>36902.949999999997</v>
      </c>
      <c r="J631" s="4">
        <v>24279.05</v>
      </c>
      <c r="K631" t="s">
        <v>26</v>
      </c>
      <c r="L631" s="3">
        <f>(Table1[[#This Row],[Profit]]/Table1[[#This Row],[Sales_Amount]])*100</f>
        <v>39.683321892059752</v>
      </c>
      <c r="M631" s="4" t="str" cm="1">
        <f t="array" ref="M631">_xlfn.IFS(Table1[[#This Row],[Sales_Amount]]&gt;200000,"High",AND(Table1[[#This Row],[Sales_Amount]]&gt;100000,Table1[[#This Row],[Sales_Amount]]&lt;200000),"Medium",Table1[[#This Row],[Sales_Amount]]&lt;100000,"Low")</f>
        <v>Low</v>
      </c>
      <c r="N631" t="str">
        <f>TEXT(Table1[[#This Row],[Order_Date]],"MMMM")</f>
        <v>March</v>
      </c>
      <c r="O631">
        <f>YEAR(Table1[[#This Row],[Order_Date]])</f>
        <v>2027</v>
      </c>
    </row>
    <row r="632" spans="1:15" x14ac:dyDescent="0.3">
      <c r="A632" t="s">
        <v>663</v>
      </c>
      <c r="B632" s="1">
        <v>46451</v>
      </c>
      <c r="C632" t="s">
        <v>28</v>
      </c>
      <c r="D632" t="s">
        <v>44</v>
      </c>
      <c r="E632" t="s">
        <v>25</v>
      </c>
      <c r="F632" s="3">
        <v>1</v>
      </c>
      <c r="G632" s="4">
        <v>45573</v>
      </c>
      <c r="H632" s="4">
        <v>45573</v>
      </c>
      <c r="I632" s="4">
        <v>39950.5</v>
      </c>
      <c r="J632" s="4">
        <v>5622.5</v>
      </c>
      <c r="K632" t="s">
        <v>15</v>
      </c>
      <c r="L632" s="3">
        <f>(Table1[[#This Row],[Profit]]/Table1[[#This Row],[Sales_Amount]])*100</f>
        <v>12.337348868847783</v>
      </c>
      <c r="M632" s="4" t="str" cm="1">
        <f t="array" ref="M632">_xlfn.IFS(Table1[[#This Row],[Sales_Amount]]&gt;200000,"High",AND(Table1[[#This Row],[Sales_Amount]]&gt;100000,Table1[[#This Row],[Sales_Amount]]&lt;200000),"Medium",Table1[[#This Row],[Sales_Amount]]&lt;100000,"Low")</f>
        <v>Low</v>
      </c>
      <c r="N632" t="str">
        <f>TEXT(Table1[[#This Row],[Order_Date]],"MMMM")</f>
        <v>March</v>
      </c>
      <c r="O632">
        <f>YEAR(Table1[[#This Row],[Order_Date]])</f>
        <v>2027</v>
      </c>
    </row>
    <row r="633" spans="1:15" x14ac:dyDescent="0.3">
      <c r="A633" t="s">
        <v>664</v>
      </c>
      <c r="B633" s="1">
        <v>46452</v>
      </c>
      <c r="C633" t="s">
        <v>40</v>
      </c>
      <c r="D633" t="s">
        <v>51</v>
      </c>
      <c r="E633" t="s">
        <v>32</v>
      </c>
      <c r="F633" s="3">
        <v>10</v>
      </c>
      <c r="G633" s="4">
        <v>15652</v>
      </c>
      <c r="H633" s="4">
        <v>156520</v>
      </c>
      <c r="I633" s="4">
        <v>131325.01</v>
      </c>
      <c r="J633" s="4">
        <v>25194.99</v>
      </c>
      <c r="K633" t="s">
        <v>58</v>
      </c>
      <c r="L633" s="3">
        <f>(Table1[[#This Row],[Profit]]/Table1[[#This Row],[Sales_Amount]])*100</f>
        <v>16.096978021978021</v>
      </c>
      <c r="M633" s="4" t="str" cm="1">
        <f t="array" ref="M633">_xlfn.IFS(Table1[[#This Row],[Sales_Amount]]&gt;200000,"High",AND(Table1[[#This Row],[Sales_Amount]]&gt;100000,Table1[[#This Row],[Sales_Amount]]&lt;200000),"Medium",Table1[[#This Row],[Sales_Amount]]&lt;100000,"Low")</f>
        <v>Medium</v>
      </c>
      <c r="N633" t="str">
        <f>TEXT(Table1[[#This Row],[Order_Date]],"MMMM")</f>
        <v>March</v>
      </c>
      <c r="O633">
        <f>YEAR(Table1[[#This Row],[Order_Date]])</f>
        <v>2027</v>
      </c>
    </row>
    <row r="634" spans="1:15" x14ac:dyDescent="0.3">
      <c r="A634" t="s">
        <v>665</v>
      </c>
      <c r="B634" s="1">
        <v>46453</v>
      </c>
      <c r="C634" t="s">
        <v>28</v>
      </c>
      <c r="D634" t="s">
        <v>21</v>
      </c>
      <c r="E634" t="s">
        <v>37</v>
      </c>
      <c r="F634" s="3">
        <v>7</v>
      </c>
      <c r="G634" s="4">
        <v>16877</v>
      </c>
      <c r="H634" s="4">
        <v>118139</v>
      </c>
      <c r="I634" s="4">
        <v>76669.95</v>
      </c>
      <c r="J634" s="4">
        <v>41469.050000000003</v>
      </c>
      <c r="K634" t="s">
        <v>23</v>
      </c>
      <c r="L634" s="3">
        <f>(Table1[[#This Row],[Profit]]/Table1[[#This Row],[Sales_Amount]])*100</f>
        <v>35.101913847247737</v>
      </c>
      <c r="M634" s="4" t="str" cm="1">
        <f t="array" ref="M634">_xlfn.IFS(Table1[[#This Row],[Sales_Amount]]&gt;200000,"High",AND(Table1[[#This Row],[Sales_Amount]]&gt;100000,Table1[[#This Row],[Sales_Amount]]&lt;200000),"Medium",Table1[[#This Row],[Sales_Amount]]&lt;100000,"Low")</f>
        <v>Medium</v>
      </c>
      <c r="N634" t="str">
        <f>TEXT(Table1[[#This Row],[Order_Date]],"MMMM")</f>
        <v>March</v>
      </c>
      <c r="O634">
        <f>YEAR(Table1[[#This Row],[Order_Date]])</f>
        <v>2027</v>
      </c>
    </row>
    <row r="635" spans="1:15" x14ac:dyDescent="0.3">
      <c r="A635" t="s">
        <v>666</v>
      </c>
      <c r="B635" s="1">
        <v>46454</v>
      </c>
      <c r="C635" t="s">
        <v>40</v>
      </c>
      <c r="D635" t="s">
        <v>44</v>
      </c>
      <c r="E635" t="s">
        <v>14</v>
      </c>
      <c r="F635" s="3">
        <v>7</v>
      </c>
      <c r="G635" s="4">
        <v>41481</v>
      </c>
      <c r="H635" s="4">
        <v>290367</v>
      </c>
      <c r="I635" s="4">
        <v>195088.45</v>
      </c>
      <c r="J635" s="4">
        <v>95278.55</v>
      </c>
      <c r="K635" t="s">
        <v>26</v>
      </c>
      <c r="L635" s="3">
        <f>(Table1[[#This Row],[Profit]]/Table1[[#This Row],[Sales_Amount]])*100</f>
        <v>32.813146810760173</v>
      </c>
      <c r="M635" s="4" t="str" cm="1">
        <f t="array" ref="M635">_xlfn.IFS(Table1[[#This Row],[Sales_Amount]]&gt;200000,"High",AND(Table1[[#This Row],[Sales_Amount]]&gt;100000,Table1[[#This Row],[Sales_Amount]]&lt;200000),"Medium",Table1[[#This Row],[Sales_Amount]]&lt;100000,"Low")</f>
        <v>High</v>
      </c>
      <c r="N635" t="str">
        <f>TEXT(Table1[[#This Row],[Order_Date]],"MMMM")</f>
        <v>March</v>
      </c>
      <c r="O635">
        <f>YEAR(Table1[[#This Row],[Order_Date]])</f>
        <v>2027</v>
      </c>
    </row>
    <row r="636" spans="1:15" x14ac:dyDescent="0.3">
      <c r="A636" t="s">
        <v>667</v>
      </c>
      <c r="B636" s="1">
        <v>46455</v>
      </c>
      <c r="C636" t="s">
        <v>17</v>
      </c>
      <c r="D636" t="s">
        <v>56</v>
      </c>
      <c r="E636" t="s">
        <v>22</v>
      </c>
      <c r="F636" s="3">
        <v>2</v>
      </c>
      <c r="G636" s="4">
        <v>12454</v>
      </c>
      <c r="H636" s="4">
        <v>24908</v>
      </c>
      <c r="I636" s="4">
        <v>15965.71</v>
      </c>
      <c r="J636" s="4">
        <v>8942.2900000000009</v>
      </c>
      <c r="K636" t="s">
        <v>58</v>
      </c>
      <c r="L636" s="3">
        <f>(Table1[[#This Row],[Profit]]/Table1[[#This Row],[Sales_Amount]])*100</f>
        <v>35.901276698249561</v>
      </c>
      <c r="M636" s="4" t="str" cm="1">
        <f t="array" ref="M636">_xlfn.IFS(Table1[[#This Row],[Sales_Amount]]&gt;200000,"High",AND(Table1[[#This Row],[Sales_Amount]]&gt;100000,Table1[[#This Row],[Sales_Amount]]&lt;200000),"Medium",Table1[[#This Row],[Sales_Amount]]&lt;100000,"Low")</f>
        <v>Low</v>
      </c>
      <c r="N636" t="str">
        <f>TEXT(Table1[[#This Row],[Order_Date]],"MMMM")</f>
        <v>March</v>
      </c>
      <c r="O636">
        <f>YEAR(Table1[[#This Row],[Order_Date]])</f>
        <v>2027</v>
      </c>
    </row>
    <row r="637" spans="1:15" x14ac:dyDescent="0.3">
      <c r="A637" t="s">
        <v>668</v>
      </c>
      <c r="B637" s="1">
        <v>46456</v>
      </c>
      <c r="C637" t="s">
        <v>17</v>
      </c>
      <c r="D637" t="s">
        <v>13</v>
      </c>
      <c r="E637" t="s">
        <v>19</v>
      </c>
      <c r="F637" s="3">
        <v>10</v>
      </c>
      <c r="G637" s="4">
        <v>32743</v>
      </c>
      <c r="H637" s="4">
        <v>327430</v>
      </c>
      <c r="I637" s="4">
        <v>214904.37</v>
      </c>
      <c r="J637" s="4">
        <v>112525.63</v>
      </c>
      <c r="K637" t="s">
        <v>15</v>
      </c>
      <c r="L637" s="3">
        <f>(Table1[[#This Row],[Profit]]/Table1[[#This Row],[Sales_Amount]])*100</f>
        <v>34.366316464587854</v>
      </c>
      <c r="M637" s="4" t="str" cm="1">
        <f t="array" ref="M637">_xlfn.IFS(Table1[[#This Row],[Sales_Amount]]&gt;200000,"High",AND(Table1[[#This Row],[Sales_Amount]]&gt;100000,Table1[[#This Row],[Sales_Amount]]&lt;200000),"Medium",Table1[[#This Row],[Sales_Amount]]&lt;100000,"Low")</f>
        <v>High</v>
      </c>
      <c r="N637" t="str">
        <f>TEXT(Table1[[#This Row],[Order_Date]],"MMMM")</f>
        <v>March</v>
      </c>
      <c r="O637">
        <f>YEAR(Table1[[#This Row],[Order_Date]])</f>
        <v>2027</v>
      </c>
    </row>
    <row r="638" spans="1:15" x14ac:dyDescent="0.3">
      <c r="A638" t="s">
        <v>669</v>
      </c>
      <c r="B638" s="1">
        <v>46457</v>
      </c>
      <c r="C638" t="s">
        <v>12</v>
      </c>
      <c r="D638" t="s">
        <v>56</v>
      </c>
      <c r="E638" t="s">
        <v>14</v>
      </c>
      <c r="F638" s="3">
        <v>3</v>
      </c>
      <c r="G638" s="4">
        <v>7202</v>
      </c>
      <c r="H638" s="4">
        <v>21606</v>
      </c>
      <c r="I638" s="4">
        <v>14792.21</v>
      </c>
      <c r="J638" s="4">
        <v>6813.79</v>
      </c>
      <c r="K638" t="s">
        <v>15</v>
      </c>
      <c r="L638" s="3">
        <f>(Table1[[#This Row],[Profit]]/Table1[[#This Row],[Sales_Amount]])*100</f>
        <v>31.536563917430342</v>
      </c>
      <c r="M638" s="4" t="str" cm="1">
        <f t="array" ref="M638">_xlfn.IFS(Table1[[#This Row],[Sales_Amount]]&gt;200000,"High",AND(Table1[[#This Row],[Sales_Amount]]&gt;100000,Table1[[#This Row],[Sales_Amount]]&lt;200000),"Medium",Table1[[#This Row],[Sales_Amount]]&lt;100000,"Low")</f>
        <v>Low</v>
      </c>
      <c r="N638" t="str">
        <f>TEXT(Table1[[#This Row],[Order_Date]],"MMMM")</f>
        <v>March</v>
      </c>
      <c r="O638">
        <f>YEAR(Table1[[#This Row],[Order_Date]])</f>
        <v>2027</v>
      </c>
    </row>
    <row r="639" spans="1:15" x14ac:dyDescent="0.3">
      <c r="A639" t="s">
        <v>670</v>
      </c>
      <c r="B639" s="1">
        <v>46458</v>
      </c>
      <c r="C639" t="s">
        <v>40</v>
      </c>
      <c r="D639" t="s">
        <v>21</v>
      </c>
      <c r="E639" t="s">
        <v>14</v>
      </c>
      <c r="F639" s="3">
        <v>3</v>
      </c>
      <c r="G639" s="4">
        <v>1465</v>
      </c>
      <c r="H639" s="4">
        <v>4395</v>
      </c>
      <c r="I639" s="4">
        <v>3287.78</v>
      </c>
      <c r="J639" s="4">
        <v>1107.22</v>
      </c>
      <c r="K639" t="s">
        <v>26</v>
      </c>
      <c r="L639" s="3">
        <f>(Table1[[#This Row],[Profit]]/Table1[[#This Row],[Sales_Amount]])*100</f>
        <v>25.192718998862347</v>
      </c>
      <c r="M639" s="4" t="str" cm="1">
        <f t="array" ref="M639">_xlfn.IFS(Table1[[#This Row],[Sales_Amount]]&gt;200000,"High",AND(Table1[[#This Row],[Sales_Amount]]&gt;100000,Table1[[#This Row],[Sales_Amount]]&lt;200000),"Medium",Table1[[#This Row],[Sales_Amount]]&lt;100000,"Low")</f>
        <v>Low</v>
      </c>
      <c r="N639" t="str">
        <f>TEXT(Table1[[#This Row],[Order_Date]],"MMMM")</f>
        <v>March</v>
      </c>
      <c r="O639">
        <f>YEAR(Table1[[#This Row],[Order_Date]])</f>
        <v>2027</v>
      </c>
    </row>
    <row r="640" spans="1:15" x14ac:dyDescent="0.3">
      <c r="A640" t="s">
        <v>671</v>
      </c>
      <c r="B640" s="1">
        <v>46459</v>
      </c>
      <c r="C640" t="s">
        <v>40</v>
      </c>
      <c r="D640" t="s">
        <v>29</v>
      </c>
      <c r="E640" t="s">
        <v>32</v>
      </c>
      <c r="F640" s="3">
        <v>8</v>
      </c>
      <c r="G640" s="4">
        <v>46174</v>
      </c>
      <c r="H640" s="4">
        <v>369392</v>
      </c>
      <c r="I640" s="4">
        <v>309338.99</v>
      </c>
      <c r="J640" s="4">
        <v>60053.01</v>
      </c>
      <c r="K640" t="s">
        <v>23</v>
      </c>
      <c r="L640" s="3">
        <f>(Table1[[#This Row],[Profit]]/Table1[[#This Row],[Sales_Amount]])*100</f>
        <v>16.257257872395723</v>
      </c>
      <c r="M640" s="4" t="str" cm="1">
        <f t="array" ref="M640">_xlfn.IFS(Table1[[#This Row],[Sales_Amount]]&gt;200000,"High",AND(Table1[[#This Row],[Sales_Amount]]&gt;100000,Table1[[#This Row],[Sales_Amount]]&lt;200000),"Medium",Table1[[#This Row],[Sales_Amount]]&lt;100000,"Low")</f>
        <v>High</v>
      </c>
      <c r="N640" t="str">
        <f>TEXT(Table1[[#This Row],[Order_Date]],"MMMM")</f>
        <v>March</v>
      </c>
      <c r="O640">
        <f>YEAR(Table1[[#This Row],[Order_Date]])</f>
        <v>2027</v>
      </c>
    </row>
    <row r="641" spans="1:15" x14ac:dyDescent="0.3">
      <c r="A641" t="s">
        <v>672</v>
      </c>
      <c r="B641" s="1">
        <v>46460</v>
      </c>
      <c r="C641" t="s">
        <v>12</v>
      </c>
      <c r="D641" t="s">
        <v>51</v>
      </c>
      <c r="E641" t="s">
        <v>32</v>
      </c>
      <c r="F641" s="3">
        <v>7</v>
      </c>
      <c r="G641" s="4">
        <v>5178</v>
      </c>
      <c r="H641" s="4">
        <v>36246</v>
      </c>
      <c r="I641" s="4">
        <v>27654.16</v>
      </c>
      <c r="J641" s="4">
        <v>8591.84</v>
      </c>
      <c r="K641" t="s">
        <v>26</v>
      </c>
      <c r="L641" s="3">
        <f>(Table1[[#This Row],[Profit]]/Table1[[#This Row],[Sales_Amount]])*100</f>
        <v>23.704243226838827</v>
      </c>
      <c r="M641" s="4" t="str" cm="1">
        <f t="array" ref="M641">_xlfn.IFS(Table1[[#This Row],[Sales_Amount]]&gt;200000,"High",AND(Table1[[#This Row],[Sales_Amount]]&gt;100000,Table1[[#This Row],[Sales_Amount]]&lt;200000),"Medium",Table1[[#This Row],[Sales_Amount]]&lt;100000,"Low")</f>
        <v>Low</v>
      </c>
      <c r="N641" t="str">
        <f>TEXT(Table1[[#This Row],[Order_Date]],"MMMM")</f>
        <v>March</v>
      </c>
      <c r="O641">
        <f>YEAR(Table1[[#This Row],[Order_Date]])</f>
        <v>2027</v>
      </c>
    </row>
    <row r="642" spans="1:15" x14ac:dyDescent="0.3">
      <c r="A642" t="s">
        <v>673</v>
      </c>
      <c r="B642" s="1">
        <v>46461</v>
      </c>
      <c r="C642" t="s">
        <v>28</v>
      </c>
      <c r="D642" t="s">
        <v>51</v>
      </c>
      <c r="E642" t="s">
        <v>14</v>
      </c>
      <c r="F642" s="3">
        <v>2</v>
      </c>
      <c r="G642" s="4">
        <v>47337</v>
      </c>
      <c r="H642" s="4">
        <v>94674</v>
      </c>
      <c r="I642" s="4">
        <v>63875.48</v>
      </c>
      <c r="J642" s="4">
        <v>30798.52</v>
      </c>
      <c r="K642" t="s">
        <v>15</v>
      </c>
      <c r="L642" s="3">
        <f>(Table1[[#This Row],[Profit]]/Table1[[#This Row],[Sales_Amount]])*100</f>
        <v>32.531127870376238</v>
      </c>
      <c r="M642" s="4" t="str" cm="1">
        <f t="array" ref="M642">_xlfn.IFS(Table1[[#This Row],[Sales_Amount]]&gt;200000,"High",AND(Table1[[#This Row],[Sales_Amount]]&gt;100000,Table1[[#This Row],[Sales_Amount]]&lt;200000),"Medium",Table1[[#This Row],[Sales_Amount]]&lt;100000,"Low")</f>
        <v>Low</v>
      </c>
      <c r="N642" t="str">
        <f>TEXT(Table1[[#This Row],[Order_Date]],"MMMM")</f>
        <v>March</v>
      </c>
      <c r="O642">
        <f>YEAR(Table1[[#This Row],[Order_Date]])</f>
        <v>2027</v>
      </c>
    </row>
    <row r="643" spans="1:15" x14ac:dyDescent="0.3">
      <c r="A643" t="s">
        <v>674</v>
      </c>
      <c r="B643" s="1">
        <v>46462</v>
      </c>
      <c r="C643" t="s">
        <v>12</v>
      </c>
      <c r="D643" t="s">
        <v>56</v>
      </c>
      <c r="E643" t="s">
        <v>37</v>
      </c>
      <c r="F643" s="3">
        <v>2</v>
      </c>
      <c r="G643" s="4">
        <v>34653</v>
      </c>
      <c r="H643" s="4">
        <v>69306</v>
      </c>
      <c r="I643" s="4">
        <v>55431.1</v>
      </c>
      <c r="J643" s="4">
        <v>13874.9</v>
      </c>
      <c r="K643" t="s">
        <v>58</v>
      </c>
      <c r="L643" s="3">
        <f>(Table1[[#This Row],[Profit]]/Table1[[#This Row],[Sales_Amount]])*100</f>
        <v>20.019767408305196</v>
      </c>
      <c r="M643" s="4" t="str" cm="1">
        <f t="array" ref="M643">_xlfn.IFS(Table1[[#This Row],[Sales_Amount]]&gt;200000,"High",AND(Table1[[#This Row],[Sales_Amount]]&gt;100000,Table1[[#This Row],[Sales_Amount]]&lt;200000),"Medium",Table1[[#This Row],[Sales_Amount]]&lt;100000,"Low")</f>
        <v>Low</v>
      </c>
      <c r="N643" t="str">
        <f>TEXT(Table1[[#This Row],[Order_Date]],"MMMM")</f>
        <v>March</v>
      </c>
      <c r="O643">
        <f>YEAR(Table1[[#This Row],[Order_Date]])</f>
        <v>2027</v>
      </c>
    </row>
    <row r="644" spans="1:15" x14ac:dyDescent="0.3">
      <c r="A644" t="s">
        <v>675</v>
      </c>
      <c r="B644" s="1">
        <v>46463</v>
      </c>
      <c r="C644" t="s">
        <v>17</v>
      </c>
      <c r="D644" t="s">
        <v>29</v>
      </c>
      <c r="E644" t="s">
        <v>32</v>
      </c>
      <c r="F644" s="3">
        <v>6</v>
      </c>
      <c r="G644" s="4">
        <v>10894</v>
      </c>
      <c r="H644" s="4">
        <v>65364</v>
      </c>
      <c r="I644" s="4">
        <v>51555.81</v>
      </c>
      <c r="J644" s="4">
        <v>13808.19</v>
      </c>
      <c r="K644" t="s">
        <v>26</v>
      </c>
      <c r="L644" s="3">
        <f>(Table1[[#This Row],[Profit]]/Table1[[#This Row],[Sales_Amount]])*100</f>
        <v>21.125068845235912</v>
      </c>
      <c r="M644" s="4" t="str" cm="1">
        <f t="array" ref="M644">_xlfn.IFS(Table1[[#This Row],[Sales_Amount]]&gt;200000,"High",AND(Table1[[#This Row],[Sales_Amount]]&gt;100000,Table1[[#This Row],[Sales_Amount]]&lt;200000),"Medium",Table1[[#This Row],[Sales_Amount]]&lt;100000,"Low")</f>
        <v>Low</v>
      </c>
      <c r="N644" t="str">
        <f>TEXT(Table1[[#This Row],[Order_Date]],"MMMM")</f>
        <v>March</v>
      </c>
      <c r="O644">
        <f>YEAR(Table1[[#This Row],[Order_Date]])</f>
        <v>2027</v>
      </c>
    </row>
    <row r="645" spans="1:15" x14ac:dyDescent="0.3">
      <c r="A645" t="s">
        <v>676</v>
      </c>
      <c r="B645" s="1">
        <v>46464</v>
      </c>
      <c r="C645" t="s">
        <v>17</v>
      </c>
      <c r="D645" t="s">
        <v>51</v>
      </c>
      <c r="E645" t="s">
        <v>19</v>
      </c>
      <c r="F645" s="3">
        <v>5</v>
      </c>
      <c r="G645" s="4">
        <v>13523</v>
      </c>
      <c r="H645" s="4">
        <v>67615</v>
      </c>
      <c r="I645" s="4">
        <v>47880.07</v>
      </c>
      <c r="J645" s="4">
        <v>19734.93</v>
      </c>
      <c r="K645" t="s">
        <v>15</v>
      </c>
      <c r="L645" s="3">
        <f>(Table1[[#This Row],[Profit]]/Table1[[#This Row],[Sales_Amount]])*100</f>
        <v>29.18720698069955</v>
      </c>
      <c r="M645" s="4" t="str" cm="1">
        <f t="array" ref="M645">_xlfn.IFS(Table1[[#This Row],[Sales_Amount]]&gt;200000,"High",AND(Table1[[#This Row],[Sales_Amount]]&gt;100000,Table1[[#This Row],[Sales_Amount]]&lt;200000),"Medium",Table1[[#This Row],[Sales_Amount]]&lt;100000,"Low")</f>
        <v>Low</v>
      </c>
      <c r="N645" t="str">
        <f>TEXT(Table1[[#This Row],[Order_Date]],"MMMM")</f>
        <v>March</v>
      </c>
      <c r="O645">
        <f>YEAR(Table1[[#This Row],[Order_Date]])</f>
        <v>2027</v>
      </c>
    </row>
    <row r="646" spans="1:15" x14ac:dyDescent="0.3">
      <c r="A646" t="s">
        <v>677</v>
      </c>
      <c r="B646" s="1">
        <v>46465</v>
      </c>
      <c r="C646" t="s">
        <v>40</v>
      </c>
      <c r="D646" t="s">
        <v>29</v>
      </c>
      <c r="E646" t="s">
        <v>19</v>
      </c>
      <c r="F646" s="3">
        <v>7</v>
      </c>
      <c r="G646" s="4">
        <v>21767</v>
      </c>
      <c r="H646" s="4">
        <v>152369</v>
      </c>
      <c r="I646" s="4">
        <v>92110.16</v>
      </c>
      <c r="J646" s="4">
        <v>60258.84</v>
      </c>
      <c r="K646" t="s">
        <v>58</v>
      </c>
      <c r="L646" s="3">
        <f>(Table1[[#This Row],[Profit]]/Table1[[#This Row],[Sales_Amount]])*100</f>
        <v>39.547965793566931</v>
      </c>
      <c r="M646" s="4" t="str" cm="1">
        <f t="array" ref="M646">_xlfn.IFS(Table1[[#This Row],[Sales_Amount]]&gt;200000,"High",AND(Table1[[#This Row],[Sales_Amount]]&gt;100000,Table1[[#This Row],[Sales_Amount]]&lt;200000),"Medium",Table1[[#This Row],[Sales_Amount]]&lt;100000,"Low")</f>
        <v>Medium</v>
      </c>
      <c r="N646" t="str">
        <f>TEXT(Table1[[#This Row],[Order_Date]],"MMMM")</f>
        <v>March</v>
      </c>
      <c r="O646">
        <f>YEAR(Table1[[#This Row],[Order_Date]])</f>
        <v>2027</v>
      </c>
    </row>
    <row r="647" spans="1:15" x14ac:dyDescent="0.3">
      <c r="A647" t="s">
        <v>678</v>
      </c>
      <c r="B647" s="1">
        <v>46466</v>
      </c>
      <c r="C647" t="s">
        <v>28</v>
      </c>
      <c r="D647" t="s">
        <v>13</v>
      </c>
      <c r="E647" t="s">
        <v>14</v>
      </c>
      <c r="F647" s="3">
        <v>1</v>
      </c>
      <c r="G647" s="4">
        <v>38581</v>
      </c>
      <c r="H647" s="4">
        <v>38581</v>
      </c>
      <c r="I647" s="4">
        <v>32216.78</v>
      </c>
      <c r="J647" s="4">
        <v>6364.22</v>
      </c>
      <c r="K647" t="s">
        <v>26</v>
      </c>
      <c r="L647" s="3">
        <f>(Table1[[#This Row],[Profit]]/Table1[[#This Row],[Sales_Amount]])*100</f>
        <v>16.495736243228531</v>
      </c>
      <c r="M647" s="4" t="str" cm="1">
        <f t="array" ref="M647">_xlfn.IFS(Table1[[#This Row],[Sales_Amount]]&gt;200000,"High",AND(Table1[[#This Row],[Sales_Amount]]&gt;100000,Table1[[#This Row],[Sales_Amount]]&lt;200000),"Medium",Table1[[#This Row],[Sales_Amount]]&lt;100000,"Low")</f>
        <v>Low</v>
      </c>
      <c r="N647" t="str">
        <f>TEXT(Table1[[#This Row],[Order_Date]],"MMMM")</f>
        <v>March</v>
      </c>
      <c r="O647">
        <f>YEAR(Table1[[#This Row],[Order_Date]])</f>
        <v>2027</v>
      </c>
    </row>
    <row r="648" spans="1:15" x14ac:dyDescent="0.3">
      <c r="A648" t="s">
        <v>679</v>
      </c>
      <c r="B648" s="1">
        <v>46467</v>
      </c>
      <c r="C648" t="s">
        <v>40</v>
      </c>
      <c r="D648" t="s">
        <v>18</v>
      </c>
      <c r="E648" t="s">
        <v>22</v>
      </c>
      <c r="F648" s="3">
        <v>3</v>
      </c>
      <c r="G648" s="4">
        <v>33262</v>
      </c>
      <c r="H648" s="4">
        <v>99786</v>
      </c>
      <c r="I648" s="4">
        <v>62607.78</v>
      </c>
      <c r="J648" s="4">
        <v>37178.22</v>
      </c>
      <c r="K648" t="s">
        <v>15</v>
      </c>
      <c r="L648" s="3">
        <f>(Table1[[#This Row],[Profit]]/Table1[[#This Row],[Sales_Amount]])*100</f>
        <v>37.257952017317059</v>
      </c>
      <c r="M648" s="4" t="str" cm="1">
        <f t="array" ref="M648">_xlfn.IFS(Table1[[#This Row],[Sales_Amount]]&gt;200000,"High",AND(Table1[[#This Row],[Sales_Amount]]&gt;100000,Table1[[#This Row],[Sales_Amount]]&lt;200000),"Medium",Table1[[#This Row],[Sales_Amount]]&lt;100000,"Low")</f>
        <v>Low</v>
      </c>
      <c r="N648" t="str">
        <f>TEXT(Table1[[#This Row],[Order_Date]],"MMMM")</f>
        <v>March</v>
      </c>
      <c r="O648">
        <f>YEAR(Table1[[#This Row],[Order_Date]])</f>
        <v>2027</v>
      </c>
    </row>
    <row r="649" spans="1:15" x14ac:dyDescent="0.3">
      <c r="A649" t="s">
        <v>680</v>
      </c>
      <c r="B649" s="1">
        <v>46468</v>
      </c>
      <c r="C649" t="s">
        <v>17</v>
      </c>
      <c r="D649" t="s">
        <v>13</v>
      </c>
      <c r="E649" t="s">
        <v>19</v>
      </c>
      <c r="F649" s="3">
        <v>3</v>
      </c>
      <c r="G649" s="4">
        <v>46462</v>
      </c>
      <c r="H649" s="4">
        <v>139386</v>
      </c>
      <c r="I649" s="4">
        <v>106059.64</v>
      </c>
      <c r="J649" s="4">
        <v>33326.36</v>
      </c>
      <c r="K649" t="s">
        <v>58</v>
      </c>
      <c r="L649" s="3">
        <f>(Table1[[#This Row],[Profit]]/Table1[[#This Row],[Sales_Amount]])*100</f>
        <v>23.909402665977932</v>
      </c>
      <c r="M649" s="4" t="str" cm="1">
        <f t="array" ref="M649">_xlfn.IFS(Table1[[#This Row],[Sales_Amount]]&gt;200000,"High",AND(Table1[[#This Row],[Sales_Amount]]&gt;100000,Table1[[#This Row],[Sales_Amount]]&lt;200000),"Medium",Table1[[#This Row],[Sales_Amount]]&lt;100000,"Low")</f>
        <v>Medium</v>
      </c>
      <c r="N649" t="str">
        <f>TEXT(Table1[[#This Row],[Order_Date]],"MMMM")</f>
        <v>March</v>
      </c>
      <c r="O649">
        <f>YEAR(Table1[[#This Row],[Order_Date]])</f>
        <v>2027</v>
      </c>
    </row>
    <row r="650" spans="1:15" x14ac:dyDescent="0.3">
      <c r="A650" t="s">
        <v>681</v>
      </c>
      <c r="B650" s="1">
        <v>46469</v>
      </c>
      <c r="C650" t="s">
        <v>28</v>
      </c>
      <c r="D650" t="s">
        <v>51</v>
      </c>
      <c r="E650" t="s">
        <v>32</v>
      </c>
      <c r="F650" s="3">
        <v>9</v>
      </c>
      <c r="G650" s="4">
        <v>42747</v>
      </c>
      <c r="H650" s="4">
        <v>384723</v>
      </c>
      <c r="I650" s="4">
        <v>318169.48</v>
      </c>
      <c r="J650" s="4">
        <v>66553.52</v>
      </c>
      <c r="K650" t="s">
        <v>15</v>
      </c>
      <c r="L650" s="3">
        <f>(Table1[[#This Row],[Profit]]/Table1[[#This Row],[Sales_Amount]])*100</f>
        <v>17.299074918837711</v>
      </c>
      <c r="M650" s="4" t="str" cm="1">
        <f t="array" ref="M650">_xlfn.IFS(Table1[[#This Row],[Sales_Amount]]&gt;200000,"High",AND(Table1[[#This Row],[Sales_Amount]]&gt;100000,Table1[[#This Row],[Sales_Amount]]&lt;200000),"Medium",Table1[[#This Row],[Sales_Amount]]&lt;100000,"Low")</f>
        <v>High</v>
      </c>
      <c r="N650" t="str">
        <f>TEXT(Table1[[#This Row],[Order_Date]],"MMMM")</f>
        <v>March</v>
      </c>
      <c r="O650">
        <f>YEAR(Table1[[#This Row],[Order_Date]])</f>
        <v>2027</v>
      </c>
    </row>
    <row r="651" spans="1:15" x14ac:dyDescent="0.3">
      <c r="A651" t="s">
        <v>682</v>
      </c>
      <c r="B651" s="1">
        <v>46470</v>
      </c>
      <c r="C651" t="s">
        <v>17</v>
      </c>
      <c r="D651" t="s">
        <v>56</v>
      </c>
      <c r="E651" t="s">
        <v>37</v>
      </c>
      <c r="F651" s="3">
        <v>6</v>
      </c>
      <c r="G651" s="4">
        <v>47974</v>
      </c>
      <c r="H651" s="4">
        <v>287844</v>
      </c>
      <c r="I651" s="4">
        <v>184340.95</v>
      </c>
      <c r="J651" s="4">
        <v>103503.05</v>
      </c>
      <c r="K651" t="s">
        <v>58</v>
      </c>
      <c r="L651" s="3">
        <f>(Table1[[#This Row],[Profit]]/Table1[[#This Row],[Sales_Amount]])*100</f>
        <v>35.958036297438888</v>
      </c>
      <c r="M651" s="4" t="str" cm="1">
        <f t="array" ref="M651">_xlfn.IFS(Table1[[#This Row],[Sales_Amount]]&gt;200000,"High",AND(Table1[[#This Row],[Sales_Amount]]&gt;100000,Table1[[#This Row],[Sales_Amount]]&lt;200000),"Medium",Table1[[#This Row],[Sales_Amount]]&lt;100000,"Low")</f>
        <v>High</v>
      </c>
      <c r="N651" t="str">
        <f>TEXT(Table1[[#This Row],[Order_Date]],"MMMM")</f>
        <v>March</v>
      </c>
      <c r="O651">
        <f>YEAR(Table1[[#This Row],[Order_Date]])</f>
        <v>2027</v>
      </c>
    </row>
    <row r="652" spans="1:15" x14ac:dyDescent="0.3">
      <c r="A652" t="s">
        <v>683</v>
      </c>
      <c r="B652" s="1">
        <v>46471</v>
      </c>
      <c r="C652" t="s">
        <v>12</v>
      </c>
      <c r="D652" t="s">
        <v>34</v>
      </c>
      <c r="E652" t="s">
        <v>32</v>
      </c>
      <c r="F652" s="3">
        <v>9</v>
      </c>
      <c r="G652" s="4">
        <v>46181</v>
      </c>
      <c r="H652" s="4">
        <v>415629</v>
      </c>
      <c r="I652" s="4">
        <v>310486.33</v>
      </c>
      <c r="J652" s="4">
        <v>105142.67</v>
      </c>
      <c r="K652" t="s">
        <v>26</v>
      </c>
      <c r="L652" s="3">
        <f>(Table1[[#This Row],[Profit]]/Table1[[#This Row],[Sales_Amount]])*100</f>
        <v>25.297241049108699</v>
      </c>
      <c r="M652" s="4" t="str" cm="1">
        <f t="array" ref="M652">_xlfn.IFS(Table1[[#This Row],[Sales_Amount]]&gt;200000,"High",AND(Table1[[#This Row],[Sales_Amount]]&gt;100000,Table1[[#This Row],[Sales_Amount]]&lt;200000),"Medium",Table1[[#This Row],[Sales_Amount]]&lt;100000,"Low")</f>
        <v>High</v>
      </c>
      <c r="N652" t="str">
        <f>TEXT(Table1[[#This Row],[Order_Date]],"MMMM")</f>
        <v>March</v>
      </c>
      <c r="O652">
        <f>YEAR(Table1[[#This Row],[Order_Date]])</f>
        <v>2027</v>
      </c>
    </row>
    <row r="653" spans="1:15" x14ac:dyDescent="0.3">
      <c r="A653" t="s">
        <v>684</v>
      </c>
      <c r="B653" s="1">
        <v>46472</v>
      </c>
      <c r="C653" t="s">
        <v>12</v>
      </c>
      <c r="D653" t="s">
        <v>56</v>
      </c>
      <c r="E653" t="s">
        <v>32</v>
      </c>
      <c r="F653" s="3">
        <v>10</v>
      </c>
      <c r="G653" s="4">
        <v>36841</v>
      </c>
      <c r="H653" s="4">
        <v>368410</v>
      </c>
      <c r="I653" s="4">
        <v>238767.63</v>
      </c>
      <c r="J653" s="4">
        <v>129642.37</v>
      </c>
      <c r="K653" t="s">
        <v>26</v>
      </c>
      <c r="L653" s="3">
        <f>(Table1[[#This Row],[Profit]]/Table1[[#This Row],[Sales_Amount]])*100</f>
        <v>35.189698976683587</v>
      </c>
      <c r="M653" s="4" t="str" cm="1">
        <f t="array" ref="M653">_xlfn.IFS(Table1[[#This Row],[Sales_Amount]]&gt;200000,"High",AND(Table1[[#This Row],[Sales_Amount]]&gt;100000,Table1[[#This Row],[Sales_Amount]]&lt;200000),"Medium",Table1[[#This Row],[Sales_Amount]]&lt;100000,"Low")</f>
        <v>High</v>
      </c>
      <c r="N653" t="str">
        <f>TEXT(Table1[[#This Row],[Order_Date]],"MMMM")</f>
        <v>March</v>
      </c>
      <c r="O653">
        <f>YEAR(Table1[[#This Row],[Order_Date]])</f>
        <v>2027</v>
      </c>
    </row>
    <row r="654" spans="1:15" x14ac:dyDescent="0.3">
      <c r="A654" t="s">
        <v>685</v>
      </c>
      <c r="B654" s="1">
        <v>46473</v>
      </c>
      <c r="C654" t="s">
        <v>28</v>
      </c>
      <c r="D654" t="s">
        <v>13</v>
      </c>
      <c r="E654" t="s">
        <v>25</v>
      </c>
      <c r="F654" s="3">
        <v>6</v>
      </c>
      <c r="G654" s="4">
        <v>30258</v>
      </c>
      <c r="H654" s="4">
        <v>181548</v>
      </c>
      <c r="I654" s="4">
        <v>108968.01</v>
      </c>
      <c r="J654" s="4">
        <v>72579.990000000005</v>
      </c>
      <c r="K654" t="s">
        <v>15</v>
      </c>
      <c r="L654" s="3">
        <f>(Table1[[#This Row],[Profit]]/Table1[[#This Row],[Sales_Amount]])*100</f>
        <v>39.978402405975281</v>
      </c>
      <c r="M654" s="4" t="str" cm="1">
        <f t="array" ref="M654">_xlfn.IFS(Table1[[#This Row],[Sales_Amount]]&gt;200000,"High",AND(Table1[[#This Row],[Sales_Amount]]&gt;100000,Table1[[#This Row],[Sales_Amount]]&lt;200000),"Medium",Table1[[#This Row],[Sales_Amount]]&lt;100000,"Low")</f>
        <v>Medium</v>
      </c>
      <c r="N654" t="str">
        <f>TEXT(Table1[[#This Row],[Order_Date]],"MMMM")</f>
        <v>March</v>
      </c>
      <c r="O654">
        <f>YEAR(Table1[[#This Row],[Order_Date]])</f>
        <v>2027</v>
      </c>
    </row>
    <row r="655" spans="1:15" x14ac:dyDescent="0.3">
      <c r="A655" t="s">
        <v>686</v>
      </c>
      <c r="B655" s="1">
        <v>46474</v>
      </c>
      <c r="C655" t="s">
        <v>17</v>
      </c>
      <c r="D655" t="s">
        <v>21</v>
      </c>
      <c r="E655" t="s">
        <v>32</v>
      </c>
      <c r="F655" s="3">
        <v>10</v>
      </c>
      <c r="G655" s="4">
        <v>16149</v>
      </c>
      <c r="H655" s="4">
        <v>161490</v>
      </c>
      <c r="I655" s="4">
        <v>112430.67</v>
      </c>
      <c r="J655" s="4">
        <v>49059.33</v>
      </c>
      <c r="K655" t="s">
        <v>23</v>
      </c>
      <c r="L655" s="3">
        <f>(Table1[[#This Row],[Profit]]/Table1[[#This Row],[Sales_Amount]])*100</f>
        <v>30.379175181125767</v>
      </c>
      <c r="M655" s="4" t="str" cm="1">
        <f t="array" ref="M655">_xlfn.IFS(Table1[[#This Row],[Sales_Amount]]&gt;200000,"High",AND(Table1[[#This Row],[Sales_Amount]]&gt;100000,Table1[[#This Row],[Sales_Amount]]&lt;200000),"Medium",Table1[[#This Row],[Sales_Amount]]&lt;100000,"Low")</f>
        <v>Medium</v>
      </c>
      <c r="N655" t="str">
        <f>TEXT(Table1[[#This Row],[Order_Date]],"MMMM")</f>
        <v>March</v>
      </c>
      <c r="O655">
        <f>YEAR(Table1[[#This Row],[Order_Date]])</f>
        <v>2027</v>
      </c>
    </row>
    <row r="656" spans="1:15" x14ac:dyDescent="0.3">
      <c r="A656" t="s">
        <v>687</v>
      </c>
      <c r="B656" s="1">
        <v>46475</v>
      </c>
      <c r="C656" t="s">
        <v>40</v>
      </c>
      <c r="D656" t="s">
        <v>34</v>
      </c>
      <c r="E656" t="s">
        <v>19</v>
      </c>
      <c r="F656" s="3">
        <v>8</v>
      </c>
      <c r="G656" s="4">
        <v>36640</v>
      </c>
      <c r="H656" s="4">
        <v>293120</v>
      </c>
      <c r="I656" s="4">
        <v>189425.71</v>
      </c>
      <c r="J656" s="4">
        <v>103694.29</v>
      </c>
      <c r="K656" t="s">
        <v>58</v>
      </c>
      <c r="L656" s="3">
        <f>(Table1[[#This Row],[Profit]]/Table1[[#This Row],[Sales_Amount]])*100</f>
        <v>35.376054175764189</v>
      </c>
      <c r="M656" s="4" t="str" cm="1">
        <f t="array" ref="M656">_xlfn.IFS(Table1[[#This Row],[Sales_Amount]]&gt;200000,"High",AND(Table1[[#This Row],[Sales_Amount]]&gt;100000,Table1[[#This Row],[Sales_Amount]]&lt;200000),"Medium",Table1[[#This Row],[Sales_Amount]]&lt;100000,"Low")</f>
        <v>High</v>
      </c>
      <c r="N656" t="str">
        <f>TEXT(Table1[[#This Row],[Order_Date]],"MMMM")</f>
        <v>March</v>
      </c>
      <c r="O656">
        <f>YEAR(Table1[[#This Row],[Order_Date]])</f>
        <v>2027</v>
      </c>
    </row>
    <row r="657" spans="1:15" x14ac:dyDescent="0.3">
      <c r="A657" t="s">
        <v>688</v>
      </c>
      <c r="B657" s="1">
        <v>46476</v>
      </c>
      <c r="C657" t="s">
        <v>17</v>
      </c>
      <c r="D657" t="s">
        <v>18</v>
      </c>
      <c r="E657" t="s">
        <v>32</v>
      </c>
      <c r="F657" s="3">
        <v>2</v>
      </c>
      <c r="G657" s="4">
        <v>6808</v>
      </c>
      <c r="H657" s="4">
        <v>13616</v>
      </c>
      <c r="I657" s="4">
        <v>10306.77</v>
      </c>
      <c r="J657" s="4">
        <v>3309.23</v>
      </c>
      <c r="K657" t="s">
        <v>23</v>
      </c>
      <c r="L657" s="3">
        <f>(Table1[[#This Row],[Profit]]/Table1[[#This Row],[Sales_Amount]])*100</f>
        <v>24.303980611045827</v>
      </c>
      <c r="M657" s="4" t="str" cm="1">
        <f t="array" ref="M657">_xlfn.IFS(Table1[[#This Row],[Sales_Amount]]&gt;200000,"High",AND(Table1[[#This Row],[Sales_Amount]]&gt;100000,Table1[[#This Row],[Sales_Amount]]&lt;200000),"Medium",Table1[[#This Row],[Sales_Amount]]&lt;100000,"Low")</f>
        <v>Low</v>
      </c>
      <c r="N657" t="str">
        <f>TEXT(Table1[[#This Row],[Order_Date]],"MMMM")</f>
        <v>March</v>
      </c>
      <c r="O657">
        <f>YEAR(Table1[[#This Row],[Order_Date]])</f>
        <v>2027</v>
      </c>
    </row>
    <row r="658" spans="1:15" x14ac:dyDescent="0.3">
      <c r="A658" t="s">
        <v>689</v>
      </c>
      <c r="B658" s="1">
        <v>46477</v>
      </c>
      <c r="C658" t="s">
        <v>17</v>
      </c>
      <c r="D658" t="s">
        <v>18</v>
      </c>
      <c r="E658" t="s">
        <v>14</v>
      </c>
      <c r="F658" s="3">
        <v>4</v>
      </c>
      <c r="G658" s="4">
        <v>7515</v>
      </c>
      <c r="H658" s="4">
        <v>30060</v>
      </c>
      <c r="I658" s="4">
        <v>22413.07</v>
      </c>
      <c r="J658" s="4">
        <v>7646.93</v>
      </c>
      <c r="K658" t="s">
        <v>58</v>
      </c>
      <c r="L658" s="3">
        <f>(Table1[[#This Row],[Profit]]/Table1[[#This Row],[Sales_Amount]])*100</f>
        <v>25.43888888888889</v>
      </c>
      <c r="M658" s="4" t="str" cm="1">
        <f t="array" ref="M658">_xlfn.IFS(Table1[[#This Row],[Sales_Amount]]&gt;200000,"High",AND(Table1[[#This Row],[Sales_Amount]]&gt;100000,Table1[[#This Row],[Sales_Amount]]&lt;200000),"Medium",Table1[[#This Row],[Sales_Amount]]&lt;100000,"Low")</f>
        <v>Low</v>
      </c>
      <c r="N658" t="str">
        <f>TEXT(Table1[[#This Row],[Order_Date]],"MMMM")</f>
        <v>March</v>
      </c>
      <c r="O658">
        <f>YEAR(Table1[[#This Row],[Order_Date]])</f>
        <v>2027</v>
      </c>
    </row>
    <row r="659" spans="1:15" x14ac:dyDescent="0.3">
      <c r="A659" t="s">
        <v>690</v>
      </c>
      <c r="B659" s="1">
        <v>46478</v>
      </c>
      <c r="C659" t="s">
        <v>40</v>
      </c>
      <c r="D659" t="s">
        <v>18</v>
      </c>
      <c r="E659" t="s">
        <v>37</v>
      </c>
      <c r="F659" s="3">
        <v>9</v>
      </c>
      <c r="G659" s="4">
        <v>41392</v>
      </c>
      <c r="H659" s="4">
        <v>372528</v>
      </c>
      <c r="I659" s="4">
        <v>301894.53000000003</v>
      </c>
      <c r="J659" s="4">
        <v>70633.47</v>
      </c>
      <c r="K659" t="s">
        <v>26</v>
      </c>
      <c r="L659" s="3">
        <f>(Table1[[#This Row],[Profit]]/Table1[[#This Row],[Sales_Amount]])*100</f>
        <v>18.960580144311301</v>
      </c>
      <c r="M659" s="4" t="str" cm="1">
        <f t="array" ref="M659">_xlfn.IFS(Table1[[#This Row],[Sales_Amount]]&gt;200000,"High",AND(Table1[[#This Row],[Sales_Amount]]&gt;100000,Table1[[#This Row],[Sales_Amount]]&lt;200000),"Medium",Table1[[#This Row],[Sales_Amount]]&lt;100000,"Low")</f>
        <v>High</v>
      </c>
      <c r="N659" t="str">
        <f>TEXT(Table1[[#This Row],[Order_Date]],"MMMM")</f>
        <v>April</v>
      </c>
      <c r="O659">
        <f>YEAR(Table1[[#This Row],[Order_Date]])</f>
        <v>2027</v>
      </c>
    </row>
    <row r="660" spans="1:15" x14ac:dyDescent="0.3">
      <c r="A660" t="s">
        <v>691</v>
      </c>
      <c r="B660" s="1">
        <v>46479</v>
      </c>
      <c r="C660" t="s">
        <v>12</v>
      </c>
      <c r="D660" t="s">
        <v>56</v>
      </c>
      <c r="E660" t="s">
        <v>25</v>
      </c>
      <c r="F660" s="3">
        <v>2</v>
      </c>
      <c r="G660" s="4">
        <v>1357</v>
      </c>
      <c r="H660" s="4">
        <v>2714</v>
      </c>
      <c r="I660" s="4">
        <v>2385.7800000000002</v>
      </c>
      <c r="J660" s="4">
        <v>328.22</v>
      </c>
      <c r="K660" t="s">
        <v>15</v>
      </c>
      <c r="L660" s="3">
        <f>(Table1[[#This Row],[Profit]]/Table1[[#This Row],[Sales_Amount]])*100</f>
        <v>12.09358879882093</v>
      </c>
      <c r="M660" s="4" t="str" cm="1">
        <f t="array" ref="M660">_xlfn.IFS(Table1[[#This Row],[Sales_Amount]]&gt;200000,"High",AND(Table1[[#This Row],[Sales_Amount]]&gt;100000,Table1[[#This Row],[Sales_Amount]]&lt;200000),"Medium",Table1[[#This Row],[Sales_Amount]]&lt;100000,"Low")</f>
        <v>Low</v>
      </c>
      <c r="N660" t="str">
        <f>TEXT(Table1[[#This Row],[Order_Date]],"MMMM")</f>
        <v>April</v>
      </c>
      <c r="O660">
        <f>YEAR(Table1[[#This Row],[Order_Date]])</f>
        <v>2027</v>
      </c>
    </row>
    <row r="661" spans="1:15" x14ac:dyDescent="0.3">
      <c r="A661" t="s">
        <v>692</v>
      </c>
      <c r="B661" s="1">
        <v>46480</v>
      </c>
      <c r="C661" t="s">
        <v>28</v>
      </c>
      <c r="D661" t="s">
        <v>34</v>
      </c>
      <c r="E661" t="s">
        <v>19</v>
      </c>
      <c r="F661" s="3">
        <v>1</v>
      </c>
      <c r="G661" s="4">
        <v>24153</v>
      </c>
      <c r="H661" s="4">
        <v>24153</v>
      </c>
      <c r="I661" s="4">
        <v>18535.16</v>
      </c>
      <c r="J661" s="4">
        <v>5617.84</v>
      </c>
      <c r="K661" t="s">
        <v>15</v>
      </c>
      <c r="L661" s="3">
        <f>(Table1[[#This Row],[Profit]]/Table1[[#This Row],[Sales_Amount]])*100</f>
        <v>23.259388067734857</v>
      </c>
      <c r="M661" s="4" t="str" cm="1">
        <f t="array" ref="M661">_xlfn.IFS(Table1[[#This Row],[Sales_Amount]]&gt;200000,"High",AND(Table1[[#This Row],[Sales_Amount]]&gt;100000,Table1[[#This Row],[Sales_Amount]]&lt;200000),"Medium",Table1[[#This Row],[Sales_Amount]]&lt;100000,"Low")</f>
        <v>Low</v>
      </c>
      <c r="N661" t="str">
        <f>TEXT(Table1[[#This Row],[Order_Date]],"MMMM")</f>
        <v>April</v>
      </c>
      <c r="O661">
        <f>YEAR(Table1[[#This Row],[Order_Date]])</f>
        <v>2027</v>
      </c>
    </row>
    <row r="662" spans="1:15" x14ac:dyDescent="0.3">
      <c r="A662" t="s">
        <v>693</v>
      </c>
      <c r="B662" s="1">
        <v>46481</v>
      </c>
      <c r="C662" t="s">
        <v>40</v>
      </c>
      <c r="D662" t="s">
        <v>29</v>
      </c>
      <c r="E662" t="s">
        <v>32</v>
      </c>
      <c r="F662" s="3">
        <v>9</v>
      </c>
      <c r="G662" s="4">
        <v>3164</v>
      </c>
      <c r="H662" s="4">
        <v>28476</v>
      </c>
      <c r="I662" s="4">
        <v>23358.58</v>
      </c>
      <c r="J662" s="4">
        <v>5117.42</v>
      </c>
      <c r="K662" t="s">
        <v>23</v>
      </c>
      <c r="L662" s="3">
        <f>(Table1[[#This Row],[Profit]]/Table1[[#This Row],[Sales_Amount]])*100</f>
        <v>17.970993117010817</v>
      </c>
      <c r="M662" s="4" t="str" cm="1">
        <f t="array" ref="M662">_xlfn.IFS(Table1[[#This Row],[Sales_Amount]]&gt;200000,"High",AND(Table1[[#This Row],[Sales_Amount]]&gt;100000,Table1[[#This Row],[Sales_Amount]]&lt;200000),"Medium",Table1[[#This Row],[Sales_Amount]]&lt;100000,"Low")</f>
        <v>Low</v>
      </c>
      <c r="N662" t="str">
        <f>TEXT(Table1[[#This Row],[Order_Date]],"MMMM")</f>
        <v>April</v>
      </c>
      <c r="O662">
        <f>YEAR(Table1[[#This Row],[Order_Date]])</f>
        <v>2027</v>
      </c>
    </row>
    <row r="663" spans="1:15" x14ac:dyDescent="0.3">
      <c r="A663" t="s">
        <v>694</v>
      </c>
      <c r="B663" s="1">
        <v>46482</v>
      </c>
      <c r="C663" t="s">
        <v>28</v>
      </c>
      <c r="D663" t="s">
        <v>51</v>
      </c>
      <c r="E663" t="s">
        <v>14</v>
      </c>
      <c r="F663" s="3">
        <v>2</v>
      </c>
      <c r="G663" s="4">
        <v>48024</v>
      </c>
      <c r="H663" s="4">
        <v>96048</v>
      </c>
      <c r="I663" s="4">
        <v>64285.45</v>
      </c>
      <c r="J663" s="4">
        <v>31762.55</v>
      </c>
      <c r="K663" t="s">
        <v>23</v>
      </c>
      <c r="L663" s="3">
        <f>(Table1[[#This Row],[Profit]]/Table1[[#This Row],[Sales_Amount]])*100</f>
        <v>33.069454855905377</v>
      </c>
      <c r="M663" s="4" t="str" cm="1">
        <f t="array" ref="M663">_xlfn.IFS(Table1[[#This Row],[Sales_Amount]]&gt;200000,"High",AND(Table1[[#This Row],[Sales_Amount]]&gt;100000,Table1[[#This Row],[Sales_Amount]]&lt;200000),"Medium",Table1[[#This Row],[Sales_Amount]]&lt;100000,"Low")</f>
        <v>Low</v>
      </c>
      <c r="N663" t="str">
        <f>TEXT(Table1[[#This Row],[Order_Date]],"MMMM")</f>
        <v>April</v>
      </c>
      <c r="O663">
        <f>YEAR(Table1[[#This Row],[Order_Date]])</f>
        <v>2027</v>
      </c>
    </row>
    <row r="664" spans="1:15" x14ac:dyDescent="0.3">
      <c r="A664" t="s">
        <v>695</v>
      </c>
      <c r="B664" s="1">
        <v>46483</v>
      </c>
      <c r="C664" t="s">
        <v>12</v>
      </c>
      <c r="D664" t="s">
        <v>21</v>
      </c>
      <c r="E664" t="s">
        <v>19</v>
      </c>
      <c r="F664" s="3">
        <v>4</v>
      </c>
      <c r="G664" s="4">
        <v>37857</v>
      </c>
      <c r="H664" s="4">
        <v>151428</v>
      </c>
      <c r="I664" s="4">
        <v>119264.32000000001</v>
      </c>
      <c r="J664" s="4">
        <v>32163.68</v>
      </c>
      <c r="K664" t="s">
        <v>15</v>
      </c>
      <c r="L664" s="3">
        <f>(Table1[[#This Row],[Profit]]/Table1[[#This Row],[Sales_Amount]])*100</f>
        <v>21.240246189608264</v>
      </c>
      <c r="M664" s="4" t="str" cm="1">
        <f t="array" ref="M664">_xlfn.IFS(Table1[[#This Row],[Sales_Amount]]&gt;200000,"High",AND(Table1[[#This Row],[Sales_Amount]]&gt;100000,Table1[[#This Row],[Sales_Amount]]&lt;200000),"Medium",Table1[[#This Row],[Sales_Amount]]&lt;100000,"Low")</f>
        <v>Medium</v>
      </c>
      <c r="N664" t="str">
        <f>TEXT(Table1[[#This Row],[Order_Date]],"MMMM")</f>
        <v>April</v>
      </c>
      <c r="O664">
        <f>YEAR(Table1[[#This Row],[Order_Date]])</f>
        <v>2027</v>
      </c>
    </row>
    <row r="665" spans="1:15" x14ac:dyDescent="0.3">
      <c r="A665" t="s">
        <v>696</v>
      </c>
      <c r="B665" s="1">
        <v>46484</v>
      </c>
      <c r="C665" t="s">
        <v>28</v>
      </c>
      <c r="D665" t="s">
        <v>29</v>
      </c>
      <c r="E665" t="s">
        <v>25</v>
      </c>
      <c r="F665" s="3">
        <v>6</v>
      </c>
      <c r="G665" s="4">
        <v>44703</v>
      </c>
      <c r="H665" s="4">
        <v>268218</v>
      </c>
      <c r="I665" s="4">
        <v>197841.94</v>
      </c>
      <c r="J665" s="4">
        <v>70376.06</v>
      </c>
      <c r="K665" t="s">
        <v>23</v>
      </c>
      <c r="L665" s="3">
        <f>(Table1[[#This Row],[Profit]]/Table1[[#This Row],[Sales_Amount]])*100</f>
        <v>26.238380720160464</v>
      </c>
      <c r="M665" s="4" t="str" cm="1">
        <f t="array" ref="M665">_xlfn.IFS(Table1[[#This Row],[Sales_Amount]]&gt;200000,"High",AND(Table1[[#This Row],[Sales_Amount]]&gt;100000,Table1[[#This Row],[Sales_Amount]]&lt;200000),"Medium",Table1[[#This Row],[Sales_Amount]]&lt;100000,"Low")</f>
        <v>High</v>
      </c>
      <c r="N665" t="str">
        <f>TEXT(Table1[[#This Row],[Order_Date]],"MMMM")</f>
        <v>April</v>
      </c>
      <c r="O665">
        <f>YEAR(Table1[[#This Row],[Order_Date]])</f>
        <v>2027</v>
      </c>
    </row>
    <row r="666" spans="1:15" x14ac:dyDescent="0.3">
      <c r="A666" t="s">
        <v>697</v>
      </c>
      <c r="B666" s="1">
        <v>46485</v>
      </c>
      <c r="C666" t="s">
        <v>12</v>
      </c>
      <c r="D666" t="s">
        <v>56</v>
      </c>
      <c r="E666" t="s">
        <v>25</v>
      </c>
      <c r="F666" s="3">
        <v>7</v>
      </c>
      <c r="G666" s="4">
        <v>33575</v>
      </c>
      <c r="H666" s="4">
        <v>235025</v>
      </c>
      <c r="I666" s="4">
        <v>164812.19</v>
      </c>
      <c r="J666" s="4">
        <v>70212.81</v>
      </c>
      <c r="K666" t="s">
        <v>26</v>
      </c>
      <c r="L666" s="3">
        <f>(Table1[[#This Row],[Profit]]/Table1[[#This Row],[Sales_Amount]])*100</f>
        <v>29.874613339006491</v>
      </c>
      <c r="M666" s="4" t="str" cm="1">
        <f t="array" ref="M666">_xlfn.IFS(Table1[[#This Row],[Sales_Amount]]&gt;200000,"High",AND(Table1[[#This Row],[Sales_Amount]]&gt;100000,Table1[[#This Row],[Sales_Amount]]&lt;200000),"Medium",Table1[[#This Row],[Sales_Amount]]&lt;100000,"Low")</f>
        <v>High</v>
      </c>
      <c r="N666" t="str">
        <f>TEXT(Table1[[#This Row],[Order_Date]],"MMMM")</f>
        <v>April</v>
      </c>
      <c r="O666">
        <f>YEAR(Table1[[#This Row],[Order_Date]])</f>
        <v>2027</v>
      </c>
    </row>
    <row r="667" spans="1:15" x14ac:dyDescent="0.3">
      <c r="A667" t="s">
        <v>698</v>
      </c>
      <c r="B667" s="1">
        <v>46486</v>
      </c>
      <c r="C667" t="s">
        <v>28</v>
      </c>
      <c r="D667" t="s">
        <v>34</v>
      </c>
      <c r="E667" t="s">
        <v>25</v>
      </c>
      <c r="F667" s="3">
        <v>6</v>
      </c>
      <c r="G667" s="4">
        <v>24861</v>
      </c>
      <c r="H667" s="4">
        <v>149166</v>
      </c>
      <c r="I667" s="4">
        <v>107951.88</v>
      </c>
      <c r="J667" s="4">
        <v>41214.120000000003</v>
      </c>
      <c r="K667" t="s">
        <v>23</v>
      </c>
      <c r="L667" s="3">
        <f>(Table1[[#This Row],[Profit]]/Table1[[#This Row],[Sales_Amount]])*100</f>
        <v>27.629701138329111</v>
      </c>
      <c r="M667" s="4" t="str" cm="1">
        <f t="array" ref="M667">_xlfn.IFS(Table1[[#This Row],[Sales_Amount]]&gt;200000,"High",AND(Table1[[#This Row],[Sales_Amount]]&gt;100000,Table1[[#This Row],[Sales_Amount]]&lt;200000),"Medium",Table1[[#This Row],[Sales_Amount]]&lt;100000,"Low")</f>
        <v>Medium</v>
      </c>
      <c r="N667" t="str">
        <f>TEXT(Table1[[#This Row],[Order_Date]],"MMMM")</f>
        <v>April</v>
      </c>
      <c r="O667">
        <f>YEAR(Table1[[#This Row],[Order_Date]])</f>
        <v>2027</v>
      </c>
    </row>
    <row r="668" spans="1:15" x14ac:dyDescent="0.3">
      <c r="A668" t="s">
        <v>699</v>
      </c>
      <c r="B668" s="1">
        <v>46487</v>
      </c>
      <c r="C668" t="s">
        <v>40</v>
      </c>
      <c r="D668" t="s">
        <v>34</v>
      </c>
      <c r="E668" t="s">
        <v>25</v>
      </c>
      <c r="F668" s="3">
        <v>4</v>
      </c>
      <c r="G668" s="4">
        <v>25080</v>
      </c>
      <c r="H668" s="4">
        <v>100320</v>
      </c>
      <c r="I668" s="4">
        <v>83236.75</v>
      </c>
      <c r="J668" s="4">
        <v>17083.25</v>
      </c>
      <c r="K668" t="s">
        <v>58</v>
      </c>
      <c r="L668" s="3">
        <f>(Table1[[#This Row],[Profit]]/Table1[[#This Row],[Sales_Amount]])*100</f>
        <v>17.02875797448166</v>
      </c>
      <c r="M668" s="4" t="str" cm="1">
        <f t="array" ref="M668">_xlfn.IFS(Table1[[#This Row],[Sales_Amount]]&gt;200000,"High",AND(Table1[[#This Row],[Sales_Amount]]&gt;100000,Table1[[#This Row],[Sales_Amount]]&lt;200000),"Medium",Table1[[#This Row],[Sales_Amount]]&lt;100000,"Low")</f>
        <v>Medium</v>
      </c>
      <c r="N668" t="str">
        <f>TEXT(Table1[[#This Row],[Order_Date]],"MMMM")</f>
        <v>April</v>
      </c>
      <c r="O668">
        <f>YEAR(Table1[[#This Row],[Order_Date]])</f>
        <v>2027</v>
      </c>
    </row>
    <row r="669" spans="1:15" x14ac:dyDescent="0.3">
      <c r="A669" t="s">
        <v>700</v>
      </c>
      <c r="B669" s="1">
        <v>46488</v>
      </c>
      <c r="C669" t="s">
        <v>40</v>
      </c>
      <c r="D669" t="s">
        <v>18</v>
      </c>
      <c r="E669" t="s">
        <v>37</v>
      </c>
      <c r="F669" s="3">
        <v>1</v>
      </c>
      <c r="G669" s="4">
        <v>48099</v>
      </c>
      <c r="H669" s="4">
        <v>48099</v>
      </c>
      <c r="I669" s="4">
        <v>29359.58</v>
      </c>
      <c r="J669" s="4">
        <v>18739.419999999998</v>
      </c>
      <c r="K669" t="s">
        <v>23</v>
      </c>
      <c r="L669" s="3">
        <f>(Table1[[#This Row],[Profit]]/Table1[[#This Row],[Sales_Amount]])*100</f>
        <v>38.960103120646991</v>
      </c>
      <c r="M669" s="4" t="str" cm="1">
        <f t="array" ref="M669">_xlfn.IFS(Table1[[#This Row],[Sales_Amount]]&gt;200000,"High",AND(Table1[[#This Row],[Sales_Amount]]&gt;100000,Table1[[#This Row],[Sales_Amount]]&lt;200000),"Medium",Table1[[#This Row],[Sales_Amount]]&lt;100000,"Low")</f>
        <v>Low</v>
      </c>
      <c r="N669" t="str">
        <f>TEXT(Table1[[#This Row],[Order_Date]],"MMMM")</f>
        <v>April</v>
      </c>
      <c r="O669">
        <f>YEAR(Table1[[#This Row],[Order_Date]])</f>
        <v>2027</v>
      </c>
    </row>
    <row r="670" spans="1:15" x14ac:dyDescent="0.3">
      <c r="A670" t="s">
        <v>701</v>
      </c>
      <c r="B670" s="1">
        <v>46489</v>
      </c>
      <c r="C670" t="s">
        <v>40</v>
      </c>
      <c r="D670" t="s">
        <v>18</v>
      </c>
      <c r="E670" t="s">
        <v>14</v>
      </c>
      <c r="F670" s="3">
        <v>5</v>
      </c>
      <c r="G670" s="4">
        <v>15041</v>
      </c>
      <c r="H670" s="4">
        <v>75205</v>
      </c>
      <c r="I670" s="4">
        <v>49969.72</v>
      </c>
      <c r="J670" s="4">
        <v>25235.279999999999</v>
      </c>
      <c r="K670" t="s">
        <v>26</v>
      </c>
      <c r="L670" s="3">
        <f>(Table1[[#This Row],[Profit]]/Table1[[#This Row],[Sales_Amount]])*100</f>
        <v>33.555322119539923</v>
      </c>
      <c r="M670" s="4" t="str" cm="1">
        <f t="array" ref="M670">_xlfn.IFS(Table1[[#This Row],[Sales_Amount]]&gt;200000,"High",AND(Table1[[#This Row],[Sales_Amount]]&gt;100000,Table1[[#This Row],[Sales_Amount]]&lt;200000),"Medium",Table1[[#This Row],[Sales_Amount]]&lt;100000,"Low")</f>
        <v>Low</v>
      </c>
      <c r="N670" t="str">
        <f>TEXT(Table1[[#This Row],[Order_Date]],"MMMM")</f>
        <v>April</v>
      </c>
      <c r="O670">
        <f>YEAR(Table1[[#This Row],[Order_Date]])</f>
        <v>2027</v>
      </c>
    </row>
    <row r="671" spans="1:15" x14ac:dyDescent="0.3">
      <c r="A671" t="s">
        <v>702</v>
      </c>
      <c r="B671" s="1">
        <v>46490</v>
      </c>
      <c r="C671" t="s">
        <v>12</v>
      </c>
      <c r="D671" t="s">
        <v>29</v>
      </c>
      <c r="E671" t="s">
        <v>25</v>
      </c>
      <c r="F671" s="3">
        <v>9</v>
      </c>
      <c r="G671" s="4">
        <v>37899</v>
      </c>
      <c r="H671" s="4">
        <v>341091</v>
      </c>
      <c r="I671" s="4">
        <v>299401.74</v>
      </c>
      <c r="J671" s="4">
        <v>41689.26</v>
      </c>
      <c r="K671" t="s">
        <v>15</v>
      </c>
      <c r="L671" s="3">
        <f>(Table1[[#This Row],[Profit]]/Table1[[#This Row],[Sales_Amount]])*100</f>
        <v>12.222327765904115</v>
      </c>
      <c r="M671" s="4" t="str" cm="1">
        <f t="array" ref="M671">_xlfn.IFS(Table1[[#This Row],[Sales_Amount]]&gt;200000,"High",AND(Table1[[#This Row],[Sales_Amount]]&gt;100000,Table1[[#This Row],[Sales_Amount]]&lt;200000),"Medium",Table1[[#This Row],[Sales_Amount]]&lt;100000,"Low")</f>
        <v>High</v>
      </c>
      <c r="N671" t="str">
        <f>TEXT(Table1[[#This Row],[Order_Date]],"MMMM")</f>
        <v>April</v>
      </c>
      <c r="O671">
        <f>YEAR(Table1[[#This Row],[Order_Date]])</f>
        <v>2027</v>
      </c>
    </row>
    <row r="672" spans="1:15" x14ac:dyDescent="0.3">
      <c r="A672" t="s">
        <v>703</v>
      </c>
      <c r="B672" s="1">
        <v>46491</v>
      </c>
      <c r="C672" t="s">
        <v>12</v>
      </c>
      <c r="D672" t="s">
        <v>51</v>
      </c>
      <c r="E672" t="s">
        <v>32</v>
      </c>
      <c r="F672" s="3">
        <v>3</v>
      </c>
      <c r="G672" s="4">
        <v>9570</v>
      </c>
      <c r="H672" s="4">
        <v>28710</v>
      </c>
      <c r="I672" s="4">
        <v>19508.34</v>
      </c>
      <c r="J672" s="4">
        <v>9201.66</v>
      </c>
      <c r="K672" t="s">
        <v>26</v>
      </c>
      <c r="L672" s="3">
        <f>(Table1[[#This Row],[Profit]]/Table1[[#This Row],[Sales_Amount]])*100</f>
        <v>32.050365726227795</v>
      </c>
      <c r="M672" s="4" t="str" cm="1">
        <f t="array" ref="M672">_xlfn.IFS(Table1[[#This Row],[Sales_Amount]]&gt;200000,"High",AND(Table1[[#This Row],[Sales_Amount]]&gt;100000,Table1[[#This Row],[Sales_Amount]]&lt;200000),"Medium",Table1[[#This Row],[Sales_Amount]]&lt;100000,"Low")</f>
        <v>Low</v>
      </c>
      <c r="N672" t="str">
        <f>TEXT(Table1[[#This Row],[Order_Date]],"MMMM")</f>
        <v>April</v>
      </c>
      <c r="O672">
        <f>YEAR(Table1[[#This Row],[Order_Date]])</f>
        <v>2027</v>
      </c>
    </row>
    <row r="673" spans="1:15" x14ac:dyDescent="0.3">
      <c r="A673" t="s">
        <v>704</v>
      </c>
      <c r="B673" s="1">
        <v>46492</v>
      </c>
      <c r="C673" t="s">
        <v>12</v>
      </c>
      <c r="D673" t="s">
        <v>29</v>
      </c>
      <c r="E673" t="s">
        <v>14</v>
      </c>
      <c r="F673" s="3">
        <v>10</v>
      </c>
      <c r="G673" s="4">
        <v>26701</v>
      </c>
      <c r="H673" s="4">
        <v>267010</v>
      </c>
      <c r="I673" s="4">
        <v>205789.81</v>
      </c>
      <c r="J673" s="4">
        <v>61220.19</v>
      </c>
      <c r="K673" t="s">
        <v>26</v>
      </c>
      <c r="L673" s="3">
        <f>(Table1[[#This Row],[Profit]]/Table1[[#This Row],[Sales_Amount]])*100</f>
        <v>22.928051383843304</v>
      </c>
      <c r="M673" s="4" t="str" cm="1">
        <f t="array" ref="M673">_xlfn.IFS(Table1[[#This Row],[Sales_Amount]]&gt;200000,"High",AND(Table1[[#This Row],[Sales_Amount]]&gt;100000,Table1[[#This Row],[Sales_Amount]]&lt;200000),"Medium",Table1[[#This Row],[Sales_Amount]]&lt;100000,"Low")</f>
        <v>High</v>
      </c>
      <c r="N673" t="str">
        <f>TEXT(Table1[[#This Row],[Order_Date]],"MMMM")</f>
        <v>April</v>
      </c>
      <c r="O673">
        <f>YEAR(Table1[[#This Row],[Order_Date]])</f>
        <v>2027</v>
      </c>
    </row>
    <row r="674" spans="1:15" x14ac:dyDescent="0.3">
      <c r="A674" t="s">
        <v>705</v>
      </c>
      <c r="B674" s="1">
        <v>46493</v>
      </c>
      <c r="C674" t="s">
        <v>17</v>
      </c>
      <c r="D674" t="s">
        <v>44</v>
      </c>
      <c r="E674" t="s">
        <v>22</v>
      </c>
      <c r="F674" s="3">
        <v>8</v>
      </c>
      <c r="G674" s="4">
        <v>45693</v>
      </c>
      <c r="H674" s="4">
        <v>365544</v>
      </c>
      <c r="I674" s="4">
        <v>296402.95</v>
      </c>
      <c r="J674" s="4">
        <v>69141.05</v>
      </c>
      <c r="K674" t="s">
        <v>15</v>
      </c>
      <c r="L674" s="3">
        <f>(Table1[[#This Row],[Profit]]/Table1[[#This Row],[Sales_Amount]])*100</f>
        <v>18.914562952749876</v>
      </c>
      <c r="M674" s="4" t="str" cm="1">
        <f t="array" ref="M674">_xlfn.IFS(Table1[[#This Row],[Sales_Amount]]&gt;200000,"High",AND(Table1[[#This Row],[Sales_Amount]]&gt;100000,Table1[[#This Row],[Sales_Amount]]&lt;200000),"Medium",Table1[[#This Row],[Sales_Amount]]&lt;100000,"Low")</f>
        <v>High</v>
      </c>
      <c r="N674" t="str">
        <f>TEXT(Table1[[#This Row],[Order_Date]],"MMMM")</f>
        <v>April</v>
      </c>
      <c r="O674">
        <f>YEAR(Table1[[#This Row],[Order_Date]])</f>
        <v>2027</v>
      </c>
    </row>
    <row r="675" spans="1:15" x14ac:dyDescent="0.3">
      <c r="A675" t="s">
        <v>706</v>
      </c>
      <c r="B675" s="1">
        <v>46494</v>
      </c>
      <c r="C675" t="s">
        <v>40</v>
      </c>
      <c r="D675" t="s">
        <v>34</v>
      </c>
      <c r="E675" t="s">
        <v>37</v>
      </c>
      <c r="F675" s="3">
        <v>2</v>
      </c>
      <c r="G675" s="4">
        <v>4164</v>
      </c>
      <c r="H675" s="4">
        <v>8328</v>
      </c>
      <c r="I675" s="4">
        <v>7300</v>
      </c>
      <c r="J675" s="4">
        <v>1028</v>
      </c>
      <c r="K675" t="s">
        <v>58</v>
      </c>
      <c r="L675" s="3">
        <f>(Table1[[#This Row],[Profit]]/Table1[[#This Row],[Sales_Amount]])*100</f>
        <v>12.343900096061478</v>
      </c>
      <c r="M675" s="4" t="str" cm="1">
        <f t="array" ref="M675">_xlfn.IFS(Table1[[#This Row],[Sales_Amount]]&gt;200000,"High",AND(Table1[[#This Row],[Sales_Amount]]&gt;100000,Table1[[#This Row],[Sales_Amount]]&lt;200000),"Medium",Table1[[#This Row],[Sales_Amount]]&lt;100000,"Low")</f>
        <v>Low</v>
      </c>
      <c r="N675" t="str">
        <f>TEXT(Table1[[#This Row],[Order_Date]],"MMMM")</f>
        <v>April</v>
      </c>
      <c r="O675">
        <f>YEAR(Table1[[#This Row],[Order_Date]])</f>
        <v>2027</v>
      </c>
    </row>
    <row r="676" spans="1:15" x14ac:dyDescent="0.3">
      <c r="A676" t="s">
        <v>707</v>
      </c>
      <c r="B676" s="1">
        <v>46495</v>
      </c>
      <c r="C676" t="s">
        <v>17</v>
      </c>
      <c r="D676" t="s">
        <v>21</v>
      </c>
      <c r="E676" t="s">
        <v>14</v>
      </c>
      <c r="F676" s="3">
        <v>4</v>
      </c>
      <c r="G676" s="4">
        <v>49499</v>
      </c>
      <c r="H676" s="4">
        <v>197996</v>
      </c>
      <c r="I676" s="4">
        <v>157571.9</v>
      </c>
      <c r="J676" s="4">
        <v>40424.1</v>
      </c>
      <c r="K676" t="s">
        <v>15</v>
      </c>
      <c r="L676" s="3">
        <f>(Table1[[#This Row],[Profit]]/Table1[[#This Row],[Sales_Amount]])*100</f>
        <v>20.416624578274309</v>
      </c>
      <c r="M676" s="4" t="str" cm="1">
        <f t="array" ref="M676">_xlfn.IFS(Table1[[#This Row],[Sales_Amount]]&gt;200000,"High",AND(Table1[[#This Row],[Sales_Amount]]&gt;100000,Table1[[#This Row],[Sales_Amount]]&lt;200000),"Medium",Table1[[#This Row],[Sales_Amount]]&lt;100000,"Low")</f>
        <v>Medium</v>
      </c>
      <c r="N676" t="str">
        <f>TEXT(Table1[[#This Row],[Order_Date]],"MMMM")</f>
        <v>April</v>
      </c>
      <c r="O676">
        <f>YEAR(Table1[[#This Row],[Order_Date]])</f>
        <v>2027</v>
      </c>
    </row>
    <row r="677" spans="1:15" x14ac:dyDescent="0.3">
      <c r="A677" t="s">
        <v>708</v>
      </c>
      <c r="B677" s="1">
        <v>46496</v>
      </c>
      <c r="C677" t="s">
        <v>12</v>
      </c>
      <c r="D677" t="s">
        <v>34</v>
      </c>
      <c r="E677" t="s">
        <v>25</v>
      </c>
      <c r="F677" s="3">
        <v>1</v>
      </c>
      <c r="G677" s="4">
        <v>21426</v>
      </c>
      <c r="H677" s="4">
        <v>21426</v>
      </c>
      <c r="I677" s="4">
        <v>16326.16</v>
      </c>
      <c r="J677" s="4">
        <v>5099.84</v>
      </c>
      <c r="K677" t="s">
        <v>23</v>
      </c>
      <c r="L677" s="3">
        <f>(Table1[[#This Row],[Profit]]/Table1[[#This Row],[Sales_Amount]])*100</f>
        <v>23.802109586483713</v>
      </c>
      <c r="M677" s="4" t="str" cm="1">
        <f t="array" ref="M677">_xlfn.IFS(Table1[[#This Row],[Sales_Amount]]&gt;200000,"High",AND(Table1[[#This Row],[Sales_Amount]]&gt;100000,Table1[[#This Row],[Sales_Amount]]&lt;200000),"Medium",Table1[[#This Row],[Sales_Amount]]&lt;100000,"Low")</f>
        <v>Low</v>
      </c>
      <c r="N677" t="str">
        <f>TEXT(Table1[[#This Row],[Order_Date]],"MMMM")</f>
        <v>April</v>
      </c>
      <c r="O677">
        <f>YEAR(Table1[[#This Row],[Order_Date]])</f>
        <v>2027</v>
      </c>
    </row>
    <row r="678" spans="1:15" x14ac:dyDescent="0.3">
      <c r="A678" t="s">
        <v>709</v>
      </c>
      <c r="B678" s="1">
        <v>46497</v>
      </c>
      <c r="C678" t="s">
        <v>17</v>
      </c>
      <c r="D678" t="s">
        <v>51</v>
      </c>
      <c r="E678" t="s">
        <v>14</v>
      </c>
      <c r="F678" s="3">
        <v>7</v>
      </c>
      <c r="G678" s="4">
        <v>29703</v>
      </c>
      <c r="H678" s="4">
        <v>207921</v>
      </c>
      <c r="I678" s="4">
        <v>171711.99</v>
      </c>
      <c r="J678" s="4">
        <v>36209.01</v>
      </c>
      <c r="K678" t="s">
        <v>58</v>
      </c>
      <c r="L678" s="3">
        <f>(Table1[[#This Row],[Profit]]/Table1[[#This Row],[Sales_Amount]])*100</f>
        <v>17.414792156636416</v>
      </c>
      <c r="M678" s="4" t="str" cm="1">
        <f t="array" ref="M678">_xlfn.IFS(Table1[[#This Row],[Sales_Amount]]&gt;200000,"High",AND(Table1[[#This Row],[Sales_Amount]]&gt;100000,Table1[[#This Row],[Sales_Amount]]&lt;200000),"Medium",Table1[[#This Row],[Sales_Amount]]&lt;100000,"Low")</f>
        <v>High</v>
      </c>
      <c r="N678" t="str">
        <f>TEXT(Table1[[#This Row],[Order_Date]],"MMMM")</f>
        <v>April</v>
      </c>
      <c r="O678">
        <f>YEAR(Table1[[#This Row],[Order_Date]])</f>
        <v>2027</v>
      </c>
    </row>
    <row r="679" spans="1:15" x14ac:dyDescent="0.3">
      <c r="A679" t="s">
        <v>710</v>
      </c>
      <c r="B679" s="1">
        <v>46498</v>
      </c>
      <c r="C679" t="s">
        <v>28</v>
      </c>
      <c r="D679" t="s">
        <v>18</v>
      </c>
      <c r="E679" t="s">
        <v>37</v>
      </c>
      <c r="F679" s="3">
        <v>3</v>
      </c>
      <c r="G679" s="4">
        <v>9163</v>
      </c>
      <c r="H679" s="4">
        <v>27489</v>
      </c>
      <c r="I679" s="4">
        <v>19265.68</v>
      </c>
      <c r="J679" s="4">
        <v>8223.32</v>
      </c>
      <c r="K679" t="s">
        <v>58</v>
      </c>
      <c r="L679" s="3">
        <f>(Table1[[#This Row],[Profit]]/Table1[[#This Row],[Sales_Amount]])*100</f>
        <v>29.914947797300741</v>
      </c>
      <c r="M679" s="4" t="str" cm="1">
        <f t="array" ref="M679">_xlfn.IFS(Table1[[#This Row],[Sales_Amount]]&gt;200000,"High",AND(Table1[[#This Row],[Sales_Amount]]&gt;100000,Table1[[#This Row],[Sales_Amount]]&lt;200000),"Medium",Table1[[#This Row],[Sales_Amount]]&lt;100000,"Low")</f>
        <v>Low</v>
      </c>
      <c r="N679" t="str">
        <f>TEXT(Table1[[#This Row],[Order_Date]],"MMMM")</f>
        <v>April</v>
      </c>
      <c r="O679">
        <f>YEAR(Table1[[#This Row],[Order_Date]])</f>
        <v>2027</v>
      </c>
    </row>
    <row r="680" spans="1:15" x14ac:dyDescent="0.3">
      <c r="A680" t="s">
        <v>711</v>
      </c>
      <c r="B680" s="1">
        <v>46499</v>
      </c>
      <c r="C680" t="s">
        <v>12</v>
      </c>
      <c r="D680" t="s">
        <v>13</v>
      </c>
      <c r="E680" t="s">
        <v>14</v>
      </c>
      <c r="F680" s="3">
        <v>7</v>
      </c>
      <c r="G680" s="4">
        <v>33387</v>
      </c>
      <c r="H680" s="4">
        <v>233709</v>
      </c>
      <c r="I680" s="4">
        <v>170688.74</v>
      </c>
      <c r="J680" s="4">
        <v>63020.26</v>
      </c>
      <c r="K680" t="s">
        <v>58</v>
      </c>
      <c r="L680" s="3">
        <f>(Table1[[#This Row],[Profit]]/Table1[[#This Row],[Sales_Amount]])*100</f>
        <v>26.965268774416046</v>
      </c>
      <c r="M680" s="4" t="str" cm="1">
        <f t="array" ref="M680">_xlfn.IFS(Table1[[#This Row],[Sales_Amount]]&gt;200000,"High",AND(Table1[[#This Row],[Sales_Amount]]&gt;100000,Table1[[#This Row],[Sales_Amount]]&lt;200000),"Medium",Table1[[#This Row],[Sales_Amount]]&lt;100000,"Low")</f>
        <v>High</v>
      </c>
      <c r="N680" t="str">
        <f>TEXT(Table1[[#This Row],[Order_Date]],"MMMM")</f>
        <v>April</v>
      </c>
      <c r="O680">
        <f>YEAR(Table1[[#This Row],[Order_Date]])</f>
        <v>2027</v>
      </c>
    </row>
    <row r="681" spans="1:15" x14ac:dyDescent="0.3">
      <c r="A681" t="s">
        <v>712</v>
      </c>
      <c r="B681" s="1">
        <v>46500</v>
      </c>
      <c r="C681" t="s">
        <v>12</v>
      </c>
      <c r="D681" t="s">
        <v>51</v>
      </c>
      <c r="E681" t="s">
        <v>22</v>
      </c>
      <c r="F681" s="3">
        <v>8</v>
      </c>
      <c r="G681" s="4">
        <v>26407</v>
      </c>
      <c r="H681" s="4">
        <v>211256</v>
      </c>
      <c r="I681" s="4">
        <v>168091.02</v>
      </c>
      <c r="J681" s="4">
        <v>43164.98</v>
      </c>
      <c r="K681" t="s">
        <v>23</v>
      </c>
      <c r="L681" s="3">
        <f>(Table1[[#This Row],[Profit]]/Table1[[#This Row],[Sales_Amount]])*100</f>
        <v>20.432546294543116</v>
      </c>
      <c r="M681" s="4" t="str" cm="1">
        <f t="array" ref="M681">_xlfn.IFS(Table1[[#This Row],[Sales_Amount]]&gt;200000,"High",AND(Table1[[#This Row],[Sales_Amount]]&gt;100000,Table1[[#This Row],[Sales_Amount]]&lt;200000),"Medium",Table1[[#This Row],[Sales_Amount]]&lt;100000,"Low")</f>
        <v>High</v>
      </c>
      <c r="N681" t="str">
        <f>TEXT(Table1[[#This Row],[Order_Date]],"MMMM")</f>
        <v>April</v>
      </c>
      <c r="O681">
        <f>YEAR(Table1[[#This Row],[Order_Date]])</f>
        <v>2027</v>
      </c>
    </row>
    <row r="682" spans="1:15" x14ac:dyDescent="0.3">
      <c r="A682" t="s">
        <v>713</v>
      </c>
      <c r="B682" s="1">
        <v>46501</v>
      </c>
      <c r="C682" t="s">
        <v>17</v>
      </c>
      <c r="D682" t="s">
        <v>29</v>
      </c>
      <c r="E682" t="s">
        <v>32</v>
      </c>
      <c r="F682" s="3">
        <v>7</v>
      </c>
      <c r="G682" s="4">
        <v>21695</v>
      </c>
      <c r="H682" s="4">
        <v>151865</v>
      </c>
      <c r="I682" s="4">
        <v>122315.32</v>
      </c>
      <c r="J682" s="4">
        <v>29549.68</v>
      </c>
      <c r="K682" t="s">
        <v>58</v>
      </c>
      <c r="L682" s="3">
        <f>(Table1[[#This Row],[Profit]]/Table1[[#This Row],[Sales_Amount]])*100</f>
        <v>19.457860599874888</v>
      </c>
      <c r="M682" s="4" t="str" cm="1">
        <f t="array" ref="M682">_xlfn.IFS(Table1[[#This Row],[Sales_Amount]]&gt;200000,"High",AND(Table1[[#This Row],[Sales_Amount]]&gt;100000,Table1[[#This Row],[Sales_Amount]]&lt;200000),"Medium",Table1[[#This Row],[Sales_Amount]]&lt;100000,"Low")</f>
        <v>Medium</v>
      </c>
      <c r="N682" t="str">
        <f>TEXT(Table1[[#This Row],[Order_Date]],"MMMM")</f>
        <v>April</v>
      </c>
      <c r="O682">
        <f>YEAR(Table1[[#This Row],[Order_Date]])</f>
        <v>2027</v>
      </c>
    </row>
    <row r="683" spans="1:15" x14ac:dyDescent="0.3">
      <c r="A683" t="s">
        <v>714</v>
      </c>
      <c r="B683" s="1">
        <v>46502</v>
      </c>
      <c r="C683" t="s">
        <v>17</v>
      </c>
      <c r="D683" t="s">
        <v>44</v>
      </c>
      <c r="E683" t="s">
        <v>32</v>
      </c>
      <c r="F683" s="3">
        <v>6</v>
      </c>
      <c r="G683" s="4">
        <v>12983</v>
      </c>
      <c r="H683" s="4">
        <v>77898</v>
      </c>
      <c r="I683" s="4">
        <v>54234.26</v>
      </c>
      <c r="J683" s="4">
        <v>23663.74</v>
      </c>
      <c r="K683" t="s">
        <v>23</v>
      </c>
      <c r="L683" s="3">
        <f>(Table1[[#This Row],[Profit]]/Table1[[#This Row],[Sales_Amount]])*100</f>
        <v>30.377853089938128</v>
      </c>
      <c r="M683" s="4" t="str" cm="1">
        <f t="array" ref="M683">_xlfn.IFS(Table1[[#This Row],[Sales_Amount]]&gt;200000,"High",AND(Table1[[#This Row],[Sales_Amount]]&gt;100000,Table1[[#This Row],[Sales_Amount]]&lt;200000),"Medium",Table1[[#This Row],[Sales_Amount]]&lt;100000,"Low")</f>
        <v>Low</v>
      </c>
      <c r="N683" t="str">
        <f>TEXT(Table1[[#This Row],[Order_Date]],"MMMM")</f>
        <v>April</v>
      </c>
      <c r="O683">
        <f>YEAR(Table1[[#This Row],[Order_Date]])</f>
        <v>2027</v>
      </c>
    </row>
    <row r="684" spans="1:15" x14ac:dyDescent="0.3">
      <c r="A684" t="s">
        <v>715</v>
      </c>
      <c r="B684" s="1">
        <v>46503</v>
      </c>
      <c r="C684" t="s">
        <v>17</v>
      </c>
      <c r="D684" t="s">
        <v>51</v>
      </c>
      <c r="E684" t="s">
        <v>25</v>
      </c>
      <c r="F684" s="3">
        <v>8</v>
      </c>
      <c r="G684" s="4">
        <v>41340</v>
      </c>
      <c r="H684" s="4">
        <v>330720</v>
      </c>
      <c r="I684" s="4">
        <v>212899.53</v>
      </c>
      <c r="J684" s="4">
        <v>117820.47</v>
      </c>
      <c r="K684" t="s">
        <v>23</v>
      </c>
      <c r="L684" s="3">
        <f>(Table1[[#This Row],[Profit]]/Table1[[#This Row],[Sales_Amount]])*100</f>
        <v>35.625444484760521</v>
      </c>
      <c r="M684" s="4" t="str" cm="1">
        <f t="array" ref="M684">_xlfn.IFS(Table1[[#This Row],[Sales_Amount]]&gt;200000,"High",AND(Table1[[#This Row],[Sales_Amount]]&gt;100000,Table1[[#This Row],[Sales_Amount]]&lt;200000),"Medium",Table1[[#This Row],[Sales_Amount]]&lt;100000,"Low")</f>
        <v>High</v>
      </c>
      <c r="N684" t="str">
        <f>TEXT(Table1[[#This Row],[Order_Date]],"MMMM")</f>
        <v>April</v>
      </c>
      <c r="O684">
        <f>YEAR(Table1[[#This Row],[Order_Date]])</f>
        <v>2027</v>
      </c>
    </row>
    <row r="685" spans="1:15" x14ac:dyDescent="0.3">
      <c r="A685" t="s">
        <v>716</v>
      </c>
      <c r="B685" s="1">
        <v>46504</v>
      </c>
      <c r="C685" t="s">
        <v>17</v>
      </c>
      <c r="D685" t="s">
        <v>18</v>
      </c>
      <c r="E685" t="s">
        <v>32</v>
      </c>
      <c r="F685" s="3">
        <v>3</v>
      </c>
      <c r="G685" s="4">
        <v>48242</v>
      </c>
      <c r="H685" s="4">
        <v>144726</v>
      </c>
      <c r="I685" s="4">
        <v>123860.74</v>
      </c>
      <c r="J685" s="4">
        <v>20865.259999999998</v>
      </c>
      <c r="K685" t="s">
        <v>23</v>
      </c>
      <c r="L685" s="3">
        <f>(Table1[[#This Row],[Profit]]/Table1[[#This Row],[Sales_Amount]])*100</f>
        <v>14.417077788372509</v>
      </c>
      <c r="M685" s="4" t="str" cm="1">
        <f t="array" ref="M685">_xlfn.IFS(Table1[[#This Row],[Sales_Amount]]&gt;200000,"High",AND(Table1[[#This Row],[Sales_Amount]]&gt;100000,Table1[[#This Row],[Sales_Amount]]&lt;200000),"Medium",Table1[[#This Row],[Sales_Amount]]&lt;100000,"Low")</f>
        <v>Medium</v>
      </c>
      <c r="N685" t="str">
        <f>TEXT(Table1[[#This Row],[Order_Date]],"MMMM")</f>
        <v>April</v>
      </c>
      <c r="O685">
        <f>YEAR(Table1[[#This Row],[Order_Date]])</f>
        <v>2027</v>
      </c>
    </row>
    <row r="686" spans="1:15" x14ac:dyDescent="0.3">
      <c r="A686" t="s">
        <v>717</v>
      </c>
      <c r="B686" s="1">
        <v>46505</v>
      </c>
      <c r="C686" t="s">
        <v>17</v>
      </c>
      <c r="D686" t="s">
        <v>44</v>
      </c>
      <c r="E686" t="s">
        <v>22</v>
      </c>
      <c r="F686" s="3">
        <v>5</v>
      </c>
      <c r="G686" s="4">
        <v>1400</v>
      </c>
      <c r="H686" s="4">
        <v>7000</v>
      </c>
      <c r="I686" s="4">
        <v>4920.87</v>
      </c>
      <c r="J686" s="4">
        <v>2079.13</v>
      </c>
      <c r="K686" t="s">
        <v>58</v>
      </c>
      <c r="L686" s="3">
        <f>(Table1[[#This Row],[Profit]]/Table1[[#This Row],[Sales_Amount]])*100</f>
        <v>29.701857142857147</v>
      </c>
      <c r="M686" s="4" t="str" cm="1">
        <f t="array" ref="M686">_xlfn.IFS(Table1[[#This Row],[Sales_Amount]]&gt;200000,"High",AND(Table1[[#This Row],[Sales_Amount]]&gt;100000,Table1[[#This Row],[Sales_Amount]]&lt;200000),"Medium",Table1[[#This Row],[Sales_Amount]]&lt;100000,"Low")</f>
        <v>Low</v>
      </c>
      <c r="N686" t="str">
        <f>TEXT(Table1[[#This Row],[Order_Date]],"MMMM")</f>
        <v>April</v>
      </c>
      <c r="O686">
        <f>YEAR(Table1[[#This Row],[Order_Date]])</f>
        <v>2027</v>
      </c>
    </row>
    <row r="687" spans="1:15" x14ac:dyDescent="0.3">
      <c r="A687" t="s">
        <v>718</v>
      </c>
      <c r="B687" s="1">
        <v>46506</v>
      </c>
      <c r="C687" t="s">
        <v>12</v>
      </c>
      <c r="D687" t="s">
        <v>51</v>
      </c>
      <c r="E687" t="s">
        <v>14</v>
      </c>
      <c r="F687" s="3">
        <v>6</v>
      </c>
      <c r="G687" s="4">
        <v>14197</v>
      </c>
      <c r="H687" s="4">
        <v>85182</v>
      </c>
      <c r="I687" s="4">
        <v>70019.94</v>
      </c>
      <c r="J687" s="4">
        <v>15162.06</v>
      </c>
      <c r="K687" t="s">
        <v>26</v>
      </c>
      <c r="L687" s="3">
        <f>(Table1[[#This Row],[Profit]]/Table1[[#This Row],[Sales_Amount]])*100</f>
        <v>17.79960555046841</v>
      </c>
      <c r="M687" s="4" t="str" cm="1">
        <f t="array" ref="M687">_xlfn.IFS(Table1[[#This Row],[Sales_Amount]]&gt;200000,"High",AND(Table1[[#This Row],[Sales_Amount]]&gt;100000,Table1[[#This Row],[Sales_Amount]]&lt;200000),"Medium",Table1[[#This Row],[Sales_Amount]]&lt;100000,"Low")</f>
        <v>Low</v>
      </c>
      <c r="N687" t="str">
        <f>TEXT(Table1[[#This Row],[Order_Date]],"MMMM")</f>
        <v>April</v>
      </c>
      <c r="O687">
        <f>YEAR(Table1[[#This Row],[Order_Date]])</f>
        <v>2027</v>
      </c>
    </row>
    <row r="688" spans="1:15" x14ac:dyDescent="0.3">
      <c r="A688" t="s">
        <v>719</v>
      </c>
      <c r="B688" s="1">
        <v>46507</v>
      </c>
      <c r="C688" t="s">
        <v>17</v>
      </c>
      <c r="D688" t="s">
        <v>21</v>
      </c>
      <c r="E688" t="s">
        <v>37</v>
      </c>
      <c r="F688" s="3">
        <v>10</v>
      </c>
      <c r="G688" s="4">
        <v>48336</v>
      </c>
      <c r="H688" s="4">
        <v>483360</v>
      </c>
      <c r="I688" s="4">
        <v>433907.75</v>
      </c>
      <c r="J688" s="4">
        <v>49452.25</v>
      </c>
      <c r="K688" t="s">
        <v>15</v>
      </c>
      <c r="L688" s="3">
        <f>(Table1[[#This Row],[Profit]]/Table1[[#This Row],[Sales_Amount]])*100</f>
        <v>10.230935534591195</v>
      </c>
      <c r="M688" s="4" t="str" cm="1">
        <f t="array" ref="M688">_xlfn.IFS(Table1[[#This Row],[Sales_Amount]]&gt;200000,"High",AND(Table1[[#This Row],[Sales_Amount]]&gt;100000,Table1[[#This Row],[Sales_Amount]]&lt;200000),"Medium",Table1[[#This Row],[Sales_Amount]]&lt;100000,"Low")</f>
        <v>High</v>
      </c>
      <c r="N688" t="str">
        <f>TEXT(Table1[[#This Row],[Order_Date]],"MMMM")</f>
        <v>April</v>
      </c>
      <c r="O688">
        <f>YEAR(Table1[[#This Row],[Order_Date]])</f>
        <v>2027</v>
      </c>
    </row>
    <row r="689" spans="1:15" x14ac:dyDescent="0.3">
      <c r="A689" t="s">
        <v>720</v>
      </c>
      <c r="B689" s="1">
        <v>46508</v>
      </c>
      <c r="C689" t="s">
        <v>40</v>
      </c>
      <c r="D689" t="s">
        <v>18</v>
      </c>
      <c r="E689" t="s">
        <v>22</v>
      </c>
      <c r="F689" s="3">
        <v>1</v>
      </c>
      <c r="G689" s="4">
        <v>19113</v>
      </c>
      <c r="H689" s="4">
        <v>19113</v>
      </c>
      <c r="I689" s="4">
        <v>12618.57</v>
      </c>
      <c r="J689" s="4">
        <v>6494.43</v>
      </c>
      <c r="K689" t="s">
        <v>58</v>
      </c>
      <c r="L689" s="3">
        <f>(Table1[[#This Row],[Profit]]/Table1[[#This Row],[Sales_Amount]])*100</f>
        <v>33.979124156333384</v>
      </c>
      <c r="M689" s="4" t="str" cm="1">
        <f t="array" ref="M689">_xlfn.IFS(Table1[[#This Row],[Sales_Amount]]&gt;200000,"High",AND(Table1[[#This Row],[Sales_Amount]]&gt;100000,Table1[[#This Row],[Sales_Amount]]&lt;200000),"Medium",Table1[[#This Row],[Sales_Amount]]&lt;100000,"Low")</f>
        <v>Low</v>
      </c>
      <c r="N689" t="str">
        <f>TEXT(Table1[[#This Row],[Order_Date]],"MMMM")</f>
        <v>May</v>
      </c>
      <c r="O689">
        <f>YEAR(Table1[[#This Row],[Order_Date]])</f>
        <v>2027</v>
      </c>
    </row>
    <row r="690" spans="1:15" x14ac:dyDescent="0.3">
      <c r="A690" t="s">
        <v>721</v>
      </c>
      <c r="B690" s="1">
        <v>46509</v>
      </c>
      <c r="C690" t="s">
        <v>40</v>
      </c>
      <c r="D690" t="s">
        <v>29</v>
      </c>
      <c r="E690" t="s">
        <v>14</v>
      </c>
      <c r="F690" s="3">
        <v>2</v>
      </c>
      <c r="G690" s="4">
        <v>25970</v>
      </c>
      <c r="H690" s="4">
        <v>51940</v>
      </c>
      <c r="I690" s="4">
        <v>41453.93</v>
      </c>
      <c r="J690" s="4">
        <v>10486.07</v>
      </c>
      <c r="K690" t="s">
        <v>15</v>
      </c>
      <c r="L690" s="3">
        <f>(Table1[[#This Row],[Profit]]/Table1[[#This Row],[Sales_Amount]])*100</f>
        <v>20.188814016172508</v>
      </c>
      <c r="M690" s="4" t="str" cm="1">
        <f t="array" ref="M690">_xlfn.IFS(Table1[[#This Row],[Sales_Amount]]&gt;200000,"High",AND(Table1[[#This Row],[Sales_Amount]]&gt;100000,Table1[[#This Row],[Sales_Amount]]&lt;200000),"Medium",Table1[[#This Row],[Sales_Amount]]&lt;100000,"Low")</f>
        <v>Low</v>
      </c>
      <c r="N690" t="str">
        <f>TEXT(Table1[[#This Row],[Order_Date]],"MMMM")</f>
        <v>May</v>
      </c>
      <c r="O690">
        <f>YEAR(Table1[[#This Row],[Order_Date]])</f>
        <v>2027</v>
      </c>
    </row>
    <row r="691" spans="1:15" x14ac:dyDescent="0.3">
      <c r="A691" t="s">
        <v>722</v>
      </c>
      <c r="B691" s="1">
        <v>46510</v>
      </c>
      <c r="C691" t="s">
        <v>17</v>
      </c>
      <c r="D691" t="s">
        <v>34</v>
      </c>
      <c r="E691" t="s">
        <v>19</v>
      </c>
      <c r="F691" s="3">
        <v>7</v>
      </c>
      <c r="G691" s="4">
        <v>15649</v>
      </c>
      <c r="H691" s="4">
        <v>109543</v>
      </c>
      <c r="I691" s="4">
        <v>97924.63</v>
      </c>
      <c r="J691" s="4">
        <v>11618.37</v>
      </c>
      <c r="K691" t="s">
        <v>58</v>
      </c>
      <c r="L691" s="3">
        <f>(Table1[[#This Row],[Profit]]/Table1[[#This Row],[Sales_Amount]])*100</f>
        <v>10.606218562573602</v>
      </c>
      <c r="M691" s="4" t="str" cm="1">
        <f t="array" ref="M691">_xlfn.IFS(Table1[[#This Row],[Sales_Amount]]&gt;200000,"High",AND(Table1[[#This Row],[Sales_Amount]]&gt;100000,Table1[[#This Row],[Sales_Amount]]&lt;200000),"Medium",Table1[[#This Row],[Sales_Amount]]&lt;100000,"Low")</f>
        <v>Medium</v>
      </c>
      <c r="N691" t="str">
        <f>TEXT(Table1[[#This Row],[Order_Date]],"MMMM")</f>
        <v>May</v>
      </c>
      <c r="O691">
        <f>YEAR(Table1[[#This Row],[Order_Date]])</f>
        <v>2027</v>
      </c>
    </row>
    <row r="692" spans="1:15" x14ac:dyDescent="0.3">
      <c r="A692" t="s">
        <v>723</v>
      </c>
      <c r="B692" s="1">
        <v>46511</v>
      </c>
      <c r="C692" t="s">
        <v>28</v>
      </c>
      <c r="D692" t="s">
        <v>18</v>
      </c>
      <c r="E692" t="s">
        <v>25</v>
      </c>
      <c r="F692" s="3">
        <v>2</v>
      </c>
      <c r="G692" s="4">
        <v>12717</v>
      </c>
      <c r="H692" s="4">
        <v>25434</v>
      </c>
      <c r="I692" s="4">
        <v>16777.86</v>
      </c>
      <c r="J692" s="4">
        <v>8656.14</v>
      </c>
      <c r="K692" t="s">
        <v>15</v>
      </c>
      <c r="L692" s="3">
        <f>(Table1[[#This Row],[Profit]]/Table1[[#This Row],[Sales_Amount]])*100</f>
        <v>34.03373437131399</v>
      </c>
      <c r="M692" s="4" t="str" cm="1">
        <f t="array" ref="M692">_xlfn.IFS(Table1[[#This Row],[Sales_Amount]]&gt;200000,"High",AND(Table1[[#This Row],[Sales_Amount]]&gt;100000,Table1[[#This Row],[Sales_Amount]]&lt;200000),"Medium",Table1[[#This Row],[Sales_Amount]]&lt;100000,"Low")</f>
        <v>Low</v>
      </c>
      <c r="N692" t="str">
        <f>TEXT(Table1[[#This Row],[Order_Date]],"MMMM")</f>
        <v>May</v>
      </c>
      <c r="O692">
        <f>YEAR(Table1[[#This Row],[Order_Date]])</f>
        <v>2027</v>
      </c>
    </row>
    <row r="693" spans="1:15" x14ac:dyDescent="0.3">
      <c r="A693" t="s">
        <v>724</v>
      </c>
      <c r="B693" s="1">
        <v>46512</v>
      </c>
      <c r="C693" t="s">
        <v>12</v>
      </c>
      <c r="D693" t="s">
        <v>18</v>
      </c>
      <c r="E693" t="s">
        <v>25</v>
      </c>
      <c r="F693" s="3">
        <v>5</v>
      </c>
      <c r="G693" s="4">
        <v>22360</v>
      </c>
      <c r="H693" s="4">
        <v>111800</v>
      </c>
      <c r="I693" s="4">
        <v>83512.350000000006</v>
      </c>
      <c r="J693" s="4">
        <v>28287.65</v>
      </c>
      <c r="K693" t="s">
        <v>26</v>
      </c>
      <c r="L693" s="3">
        <f>(Table1[[#This Row],[Profit]]/Table1[[#This Row],[Sales_Amount]])*100</f>
        <v>25.302012522361363</v>
      </c>
      <c r="M693" s="4" t="str" cm="1">
        <f t="array" ref="M693">_xlfn.IFS(Table1[[#This Row],[Sales_Amount]]&gt;200000,"High",AND(Table1[[#This Row],[Sales_Amount]]&gt;100000,Table1[[#This Row],[Sales_Amount]]&lt;200000),"Medium",Table1[[#This Row],[Sales_Amount]]&lt;100000,"Low")</f>
        <v>Medium</v>
      </c>
      <c r="N693" t="str">
        <f>TEXT(Table1[[#This Row],[Order_Date]],"MMMM")</f>
        <v>May</v>
      </c>
      <c r="O693">
        <f>YEAR(Table1[[#This Row],[Order_Date]])</f>
        <v>2027</v>
      </c>
    </row>
    <row r="694" spans="1:15" x14ac:dyDescent="0.3">
      <c r="A694" t="s">
        <v>725</v>
      </c>
      <c r="B694" s="1">
        <v>46513</v>
      </c>
      <c r="C694" t="s">
        <v>40</v>
      </c>
      <c r="D694" t="s">
        <v>18</v>
      </c>
      <c r="E694" t="s">
        <v>32</v>
      </c>
      <c r="F694" s="3">
        <v>6</v>
      </c>
      <c r="G694" s="4">
        <v>41475</v>
      </c>
      <c r="H694" s="4">
        <v>248850</v>
      </c>
      <c r="I694" s="4">
        <v>171880.16</v>
      </c>
      <c r="J694" s="4">
        <v>76969.84</v>
      </c>
      <c r="K694" t="s">
        <v>26</v>
      </c>
      <c r="L694" s="3">
        <f>(Table1[[#This Row],[Profit]]/Table1[[#This Row],[Sales_Amount]])*100</f>
        <v>30.930214988949167</v>
      </c>
      <c r="M694" s="4" t="str" cm="1">
        <f t="array" ref="M694">_xlfn.IFS(Table1[[#This Row],[Sales_Amount]]&gt;200000,"High",AND(Table1[[#This Row],[Sales_Amount]]&gt;100000,Table1[[#This Row],[Sales_Amount]]&lt;200000),"Medium",Table1[[#This Row],[Sales_Amount]]&lt;100000,"Low")</f>
        <v>High</v>
      </c>
      <c r="N694" t="str">
        <f>TEXT(Table1[[#This Row],[Order_Date]],"MMMM")</f>
        <v>May</v>
      </c>
      <c r="O694">
        <f>YEAR(Table1[[#This Row],[Order_Date]])</f>
        <v>2027</v>
      </c>
    </row>
    <row r="695" spans="1:15" x14ac:dyDescent="0.3">
      <c r="A695" t="s">
        <v>726</v>
      </c>
      <c r="B695" s="1">
        <v>46514</v>
      </c>
      <c r="C695" t="s">
        <v>40</v>
      </c>
      <c r="D695" t="s">
        <v>21</v>
      </c>
      <c r="E695" t="s">
        <v>14</v>
      </c>
      <c r="F695" s="3">
        <v>9</v>
      </c>
      <c r="G695" s="4">
        <v>18862</v>
      </c>
      <c r="H695" s="4">
        <v>169758</v>
      </c>
      <c r="I695" s="4">
        <v>113343.14</v>
      </c>
      <c r="J695" s="4">
        <v>56414.86</v>
      </c>
      <c r="K695" t="s">
        <v>23</v>
      </c>
      <c r="L695" s="3">
        <f>(Table1[[#This Row],[Profit]]/Table1[[#This Row],[Sales_Amount]])*100</f>
        <v>33.232519233261463</v>
      </c>
      <c r="M695" s="4" t="str" cm="1">
        <f t="array" ref="M695">_xlfn.IFS(Table1[[#This Row],[Sales_Amount]]&gt;200000,"High",AND(Table1[[#This Row],[Sales_Amount]]&gt;100000,Table1[[#This Row],[Sales_Amount]]&lt;200000),"Medium",Table1[[#This Row],[Sales_Amount]]&lt;100000,"Low")</f>
        <v>Medium</v>
      </c>
      <c r="N695" t="str">
        <f>TEXT(Table1[[#This Row],[Order_Date]],"MMMM")</f>
        <v>May</v>
      </c>
      <c r="O695">
        <f>YEAR(Table1[[#This Row],[Order_Date]])</f>
        <v>2027</v>
      </c>
    </row>
    <row r="696" spans="1:15" x14ac:dyDescent="0.3">
      <c r="A696" t="s">
        <v>727</v>
      </c>
      <c r="B696" s="1">
        <v>46515</v>
      </c>
      <c r="C696" t="s">
        <v>12</v>
      </c>
      <c r="D696" t="s">
        <v>21</v>
      </c>
      <c r="E696" t="s">
        <v>19</v>
      </c>
      <c r="F696" s="3">
        <v>7</v>
      </c>
      <c r="G696" s="4">
        <v>34625</v>
      </c>
      <c r="H696" s="4">
        <v>242375</v>
      </c>
      <c r="I696" s="4">
        <v>215273.04</v>
      </c>
      <c r="J696" s="4">
        <v>27101.96</v>
      </c>
      <c r="K696" t="s">
        <v>23</v>
      </c>
      <c r="L696" s="3">
        <f>(Table1[[#This Row],[Profit]]/Table1[[#This Row],[Sales_Amount]])*100</f>
        <v>11.181829809179989</v>
      </c>
      <c r="M696" s="4" t="str" cm="1">
        <f t="array" ref="M696">_xlfn.IFS(Table1[[#This Row],[Sales_Amount]]&gt;200000,"High",AND(Table1[[#This Row],[Sales_Amount]]&gt;100000,Table1[[#This Row],[Sales_Amount]]&lt;200000),"Medium",Table1[[#This Row],[Sales_Amount]]&lt;100000,"Low")</f>
        <v>High</v>
      </c>
      <c r="N696" t="str">
        <f>TEXT(Table1[[#This Row],[Order_Date]],"MMMM")</f>
        <v>May</v>
      </c>
      <c r="O696">
        <f>YEAR(Table1[[#This Row],[Order_Date]])</f>
        <v>2027</v>
      </c>
    </row>
    <row r="697" spans="1:15" x14ac:dyDescent="0.3">
      <c r="A697" t="s">
        <v>728</v>
      </c>
      <c r="B697" s="1">
        <v>46516</v>
      </c>
      <c r="C697" t="s">
        <v>40</v>
      </c>
      <c r="D697" t="s">
        <v>56</v>
      </c>
      <c r="E697" t="s">
        <v>22</v>
      </c>
      <c r="F697" s="3">
        <v>7</v>
      </c>
      <c r="G697" s="4">
        <v>20972</v>
      </c>
      <c r="H697" s="4">
        <v>146804</v>
      </c>
      <c r="I697" s="4">
        <v>128148.24</v>
      </c>
      <c r="J697" s="4">
        <v>18655.759999999998</v>
      </c>
      <c r="K697" t="s">
        <v>23</v>
      </c>
      <c r="L697" s="3">
        <f>(Table1[[#This Row],[Profit]]/Table1[[#This Row],[Sales_Amount]])*100</f>
        <v>12.707937113430152</v>
      </c>
      <c r="M697" s="4" t="str" cm="1">
        <f t="array" ref="M697">_xlfn.IFS(Table1[[#This Row],[Sales_Amount]]&gt;200000,"High",AND(Table1[[#This Row],[Sales_Amount]]&gt;100000,Table1[[#This Row],[Sales_Amount]]&lt;200000),"Medium",Table1[[#This Row],[Sales_Amount]]&lt;100000,"Low")</f>
        <v>Medium</v>
      </c>
      <c r="N697" t="str">
        <f>TEXT(Table1[[#This Row],[Order_Date]],"MMMM")</f>
        <v>May</v>
      </c>
      <c r="O697">
        <f>YEAR(Table1[[#This Row],[Order_Date]])</f>
        <v>2027</v>
      </c>
    </row>
    <row r="698" spans="1:15" x14ac:dyDescent="0.3">
      <c r="A698" t="s">
        <v>729</v>
      </c>
      <c r="B698" s="1">
        <v>46517</v>
      </c>
      <c r="C698" t="s">
        <v>12</v>
      </c>
      <c r="D698" t="s">
        <v>13</v>
      </c>
      <c r="E698" t="s">
        <v>19</v>
      </c>
      <c r="F698" s="3">
        <v>3</v>
      </c>
      <c r="G698" s="4">
        <v>38578</v>
      </c>
      <c r="H698" s="4">
        <v>115734</v>
      </c>
      <c r="I698" s="4">
        <v>88236.31</v>
      </c>
      <c r="J698" s="4">
        <v>27497.69</v>
      </c>
      <c r="K698" t="s">
        <v>26</v>
      </c>
      <c r="L698" s="3">
        <f>(Table1[[#This Row],[Profit]]/Table1[[#This Row],[Sales_Amount]])*100</f>
        <v>23.759387906751687</v>
      </c>
      <c r="M698" s="4" t="str" cm="1">
        <f t="array" ref="M698">_xlfn.IFS(Table1[[#This Row],[Sales_Amount]]&gt;200000,"High",AND(Table1[[#This Row],[Sales_Amount]]&gt;100000,Table1[[#This Row],[Sales_Amount]]&lt;200000),"Medium",Table1[[#This Row],[Sales_Amount]]&lt;100000,"Low")</f>
        <v>Medium</v>
      </c>
      <c r="N698" t="str">
        <f>TEXT(Table1[[#This Row],[Order_Date]],"MMMM")</f>
        <v>May</v>
      </c>
      <c r="O698">
        <f>YEAR(Table1[[#This Row],[Order_Date]])</f>
        <v>2027</v>
      </c>
    </row>
    <row r="699" spans="1:15" x14ac:dyDescent="0.3">
      <c r="A699" t="s">
        <v>730</v>
      </c>
      <c r="B699" s="1">
        <v>46518</v>
      </c>
      <c r="C699" t="s">
        <v>12</v>
      </c>
      <c r="D699" t="s">
        <v>13</v>
      </c>
      <c r="E699" t="s">
        <v>19</v>
      </c>
      <c r="F699" s="3">
        <v>9</v>
      </c>
      <c r="G699" s="4">
        <v>9363</v>
      </c>
      <c r="H699" s="4">
        <v>84267</v>
      </c>
      <c r="I699" s="4">
        <v>61432.27</v>
      </c>
      <c r="J699" s="4">
        <v>22834.73</v>
      </c>
      <c r="K699" t="s">
        <v>26</v>
      </c>
      <c r="L699" s="3">
        <f>(Table1[[#This Row],[Profit]]/Table1[[#This Row],[Sales_Amount]])*100</f>
        <v>27.098069232321077</v>
      </c>
      <c r="M699" s="4" t="str" cm="1">
        <f t="array" ref="M699">_xlfn.IFS(Table1[[#This Row],[Sales_Amount]]&gt;200000,"High",AND(Table1[[#This Row],[Sales_Amount]]&gt;100000,Table1[[#This Row],[Sales_Amount]]&lt;200000),"Medium",Table1[[#This Row],[Sales_Amount]]&lt;100000,"Low")</f>
        <v>Low</v>
      </c>
      <c r="N699" t="str">
        <f>TEXT(Table1[[#This Row],[Order_Date]],"MMMM")</f>
        <v>May</v>
      </c>
      <c r="O699">
        <f>YEAR(Table1[[#This Row],[Order_Date]])</f>
        <v>2027</v>
      </c>
    </row>
    <row r="700" spans="1:15" x14ac:dyDescent="0.3">
      <c r="A700" t="s">
        <v>731</v>
      </c>
      <c r="B700" s="1">
        <v>46519</v>
      </c>
      <c r="C700" t="s">
        <v>40</v>
      </c>
      <c r="D700" t="s">
        <v>13</v>
      </c>
      <c r="E700" t="s">
        <v>25</v>
      </c>
      <c r="F700" s="3">
        <v>9</v>
      </c>
      <c r="G700" s="4">
        <v>47649</v>
      </c>
      <c r="H700" s="4">
        <v>428841</v>
      </c>
      <c r="I700" s="4">
        <v>272535.40000000002</v>
      </c>
      <c r="J700" s="4">
        <v>156305.60000000001</v>
      </c>
      <c r="K700" t="s">
        <v>15</v>
      </c>
      <c r="L700" s="3">
        <f>(Table1[[#This Row],[Profit]]/Table1[[#This Row],[Sales_Amount]])*100</f>
        <v>36.448380635247098</v>
      </c>
      <c r="M700" s="4" t="str" cm="1">
        <f t="array" ref="M700">_xlfn.IFS(Table1[[#This Row],[Sales_Amount]]&gt;200000,"High",AND(Table1[[#This Row],[Sales_Amount]]&gt;100000,Table1[[#This Row],[Sales_Amount]]&lt;200000),"Medium",Table1[[#This Row],[Sales_Amount]]&lt;100000,"Low")</f>
        <v>High</v>
      </c>
      <c r="N700" t="str">
        <f>TEXT(Table1[[#This Row],[Order_Date]],"MMMM")</f>
        <v>May</v>
      </c>
      <c r="O700">
        <f>YEAR(Table1[[#This Row],[Order_Date]])</f>
        <v>2027</v>
      </c>
    </row>
    <row r="701" spans="1:15" x14ac:dyDescent="0.3">
      <c r="A701" t="s">
        <v>732</v>
      </c>
      <c r="B701" s="1">
        <v>46520</v>
      </c>
      <c r="C701" t="s">
        <v>40</v>
      </c>
      <c r="D701" t="s">
        <v>13</v>
      </c>
      <c r="E701" t="s">
        <v>37</v>
      </c>
      <c r="F701" s="3">
        <v>7</v>
      </c>
      <c r="G701" s="4">
        <v>20380</v>
      </c>
      <c r="H701" s="4">
        <v>142660</v>
      </c>
      <c r="I701" s="4">
        <v>104555.71</v>
      </c>
      <c r="J701" s="4">
        <v>38104.29</v>
      </c>
      <c r="K701" t="s">
        <v>23</v>
      </c>
      <c r="L701" s="3">
        <f>(Table1[[#This Row],[Profit]]/Table1[[#This Row],[Sales_Amount]])*100</f>
        <v>26.709862610402357</v>
      </c>
      <c r="M701" s="4" t="str" cm="1">
        <f t="array" ref="M701">_xlfn.IFS(Table1[[#This Row],[Sales_Amount]]&gt;200000,"High",AND(Table1[[#This Row],[Sales_Amount]]&gt;100000,Table1[[#This Row],[Sales_Amount]]&lt;200000),"Medium",Table1[[#This Row],[Sales_Amount]]&lt;100000,"Low")</f>
        <v>Medium</v>
      </c>
      <c r="N701" t="str">
        <f>TEXT(Table1[[#This Row],[Order_Date]],"MMMM")</f>
        <v>May</v>
      </c>
      <c r="O701">
        <f>YEAR(Table1[[#This Row],[Order_Date]])</f>
        <v>2027</v>
      </c>
    </row>
    <row r="702" spans="1:15" x14ac:dyDescent="0.3">
      <c r="A702" t="s">
        <v>733</v>
      </c>
      <c r="B702" s="1">
        <v>46521</v>
      </c>
      <c r="C702" t="s">
        <v>40</v>
      </c>
      <c r="D702" t="s">
        <v>51</v>
      </c>
      <c r="E702" t="s">
        <v>22</v>
      </c>
      <c r="F702" s="3">
        <v>3</v>
      </c>
      <c r="G702" s="4">
        <v>2216</v>
      </c>
      <c r="H702" s="4">
        <v>6648</v>
      </c>
      <c r="I702" s="4">
        <v>5509.43</v>
      </c>
      <c r="J702" s="4">
        <v>1138.57</v>
      </c>
      <c r="K702" t="s">
        <v>23</v>
      </c>
      <c r="L702" s="3">
        <f>(Table1[[#This Row],[Profit]]/Table1[[#This Row],[Sales_Amount]])*100</f>
        <v>17.126504211793019</v>
      </c>
      <c r="M702" s="4" t="str" cm="1">
        <f t="array" ref="M702">_xlfn.IFS(Table1[[#This Row],[Sales_Amount]]&gt;200000,"High",AND(Table1[[#This Row],[Sales_Amount]]&gt;100000,Table1[[#This Row],[Sales_Amount]]&lt;200000),"Medium",Table1[[#This Row],[Sales_Amount]]&lt;100000,"Low")</f>
        <v>Low</v>
      </c>
      <c r="N702" t="str">
        <f>TEXT(Table1[[#This Row],[Order_Date]],"MMMM")</f>
        <v>May</v>
      </c>
      <c r="O702">
        <f>YEAR(Table1[[#This Row],[Order_Date]])</f>
        <v>2027</v>
      </c>
    </row>
    <row r="703" spans="1:15" x14ac:dyDescent="0.3">
      <c r="A703" t="s">
        <v>734</v>
      </c>
      <c r="B703" s="1">
        <v>46522</v>
      </c>
      <c r="C703" t="s">
        <v>28</v>
      </c>
      <c r="D703" t="s">
        <v>13</v>
      </c>
      <c r="E703" t="s">
        <v>19</v>
      </c>
      <c r="F703" s="3">
        <v>1</v>
      </c>
      <c r="G703" s="4">
        <v>24044</v>
      </c>
      <c r="H703" s="4">
        <v>24044</v>
      </c>
      <c r="I703" s="4">
        <v>14999.67</v>
      </c>
      <c r="J703" s="4">
        <v>9044.33</v>
      </c>
      <c r="K703" t="s">
        <v>58</v>
      </c>
      <c r="L703" s="3">
        <f>(Table1[[#This Row],[Profit]]/Table1[[#This Row],[Sales_Amount]])*100</f>
        <v>37.615746132091168</v>
      </c>
      <c r="M703" s="4" t="str" cm="1">
        <f t="array" ref="M703">_xlfn.IFS(Table1[[#This Row],[Sales_Amount]]&gt;200000,"High",AND(Table1[[#This Row],[Sales_Amount]]&gt;100000,Table1[[#This Row],[Sales_Amount]]&lt;200000),"Medium",Table1[[#This Row],[Sales_Amount]]&lt;100000,"Low")</f>
        <v>Low</v>
      </c>
      <c r="N703" t="str">
        <f>TEXT(Table1[[#This Row],[Order_Date]],"MMMM")</f>
        <v>May</v>
      </c>
      <c r="O703">
        <f>YEAR(Table1[[#This Row],[Order_Date]])</f>
        <v>2027</v>
      </c>
    </row>
    <row r="704" spans="1:15" x14ac:dyDescent="0.3">
      <c r="A704" t="s">
        <v>735</v>
      </c>
      <c r="B704" s="1">
        <v>46523</v>
      </c>
      <c r="C704" t="s">
        <v>12</v>
      </c>
      <c r="D704" t="s">
        <v>13</v>
      </c>
      <c r="E704" t="s">
        <v>32</v>
      </c>
      <c r="F704" s="3">
        <v>3</v>
      </c>
      <c r="G704" s="4">
        <v>25892</v>
      </c>
      <c r="H704" s="4">
        <v>77676</v>
      </c>
      <c r="I704" s="4">
        <v>58057.66</v>
      </c>
      <c r="J704" s="4">
        <v>19618.34</v>
      </c>
      <c r="K704" t="s">
        <v>23</v>
      </c>
      <c r="L704" s="3">
        <f>(Table1[[#This Row],[Profit]]/Table1[[#This Row],[Sales_Amount]])*100</f>
        <v>25.256630104536793</v>
      </c>
      <c r="M704" s="4" t="str" cm="1">
        <f t="array" ref="M704">_xlfn.IFS(Table1[[#This Row],[Sales_Amount]]&gt;200000,"High",AND(Table1[[#This Row],[Sales_Amount]]&gt;100000,Table1[[#This Row],[Sales_Amount]]&lt;200000),"Medium",Table1[[#This Row],[Sales_Amount]]&lt;100000,"Low")</f>
        <v>Low</v>
      </c>
      <c r="N704" t="str">
        <f>TEXT(Table1[[#This Row],[Order_Date]],"MMMM")</f>
        <v>May</v>
      </c>
      <c r="O704">
        <f>YEAR(Table1[[#This Row],[Order_Date]])</f>
        <v>2027</v>
      </c>
    </row>
    <row r="705" spans="1:15" x14ac:dyDescent="0.3">
      <c r="A705" t="s">
        <v>736</v>
      </c>
      <c r="B705" s="1">
        <v>46524</v>
      </c>
      <c r="C705" t="s">
        <v>28</v>
      </c>
      <c r="D705" t="s">
        <v>51</v>
      </c>
      <c r="E705" t="s">
        <v>14</v>
      </c>
      <c r="F705" s="3">
        <v>7</v>
      </c>
      <c r="G705" s="4">
        <v>1483</v>
      </c>
      <c r="H705" s="4">
        <v>10381</v>
      </c>
      <c r="I705" s="4">
        <v>9110.68</v>
      </c>
      <c r="J705" s="4">
        <v>1270.32</v>
      </c>
      <c r="K705" t="s">
        <v>23</v>
      </c>
      <c r="L705" s="3">
        <f>(Table1[[#This Row],[Profit]]/Table1[[#This Row],[Sales_Amount]])*100</f>
        <v>12.236971390039495</v>
      </c>
      <c r="M705" s="4" t="str" cm="1">
        <f t="array" ref="M705">_xlfn.IFS(Table1[[#This Row],[Sales_Amount]]&gt;200000,"High",AND(Table1[[#This Row],[Sales_Amount]]&gt;100000,Table1[[#This Row],[Sales_Amount]]&lt;200000),"Medium",Table1[[#This Row],[Sales_Amount]]&lt;100000,"Low")</f>
        <v>Low</v>
      </c>
      <c r="N705" t="str">
        <f>TEXT(Table1[[#This Row],[Order_Date]],"MMMM")</f>
        <v>May</v>
      </c>
      <c r="O705">
        <f>YEAR(Table1[[#This Row],[Order_Date]])</f>
        <v>2027</v>
      </c>
    </row>
    <row r="706" spans="1:15" x14ac:dyDescent="0.3">
      <c r="A706" t="s">
        <v>737</v>
      </c>
      <c r="B706" s="1">
        <v>46525</v>
      </c>
      <c r="C706" t="s">
        <v>28</v>
      </c>
      <c r="D706" t="s">
        <v>34</v>
      </c>
      <c r="E706" t="s">
        <v>14</v>
      </c>
      <c r="F706" s="3">
        <v>3</v>
      </c>
      <c r="G706" s="4">
        <v>29288</v>
      </c>
      <c r="H706" s="4">
        <v>87864</v>
      </c>
      <c r="I706" s="4">
        <v>75575.23</v>
      </c>
      <c r="J706" s="4">
        <v>12288.77</v>
      </c>
      <c r="K706" t="s">
        <v>58</v>
      </c>
      <c r="L706" s="3">
        <f>(Table1[[#This Row],[Profit]]/Table1[[#This Row],[Sales_Amount]])*100</f>
        <v>13.986126286078484</v>
      </c>
      <c r="M706" s="4" t="str" cm="1">
        <f t="array" ref="M706">_xlfn.IFS(Table1[[#This Row],[Sales_Amount]]&gt;200000,"High",AND(Table1[[#This Row],[Sales_Amount]]&gt;100000,Table1[[#This Row],[Sales_Amount]]&lt;200000),"Medium",Table1[[#This Row],[Sales_Amount]]&lt;100000,"Low")</f>
        <v>Low</v>
      </c>
      <c r="N706" t="str">
        <f>TEXT(Table1[[#This Row],[Order_Date]],"MMMM")</f>
        <v>May</v>
      </c>
      <c r="O706">
        <f>YEAR(Table1[[#This Row],[Order_Date]])</f>
        <v>2027</v>
      </c>
    </row>
    <row r="707" spans="1:15" x14ac:dyDescent="0.3">
      <c r="A707" t="s">
        <v>738</v>
      </c>
      <c r="B707" s="1">
        <v>46526</v>
      </c>
      <c r="C707" t="s">
        <v>28</v>
      </c>
      <c r="D707" t="s">
        <v>34</v>
      </c>
      <c r="E707" t="s">
        <v>37</v>
      </c>
      <c r="F707" s="3">
        <v>7</v>
      </c>
      <c r="G707" s="4">
        <v>3241</v>
      </c>
      <c r="H707" s="4">
        <v>22687</v>
      </c>
      <c r="I707" s="4">
        <v>17749.830000000002</v>
      </c>
      <c r="J707" s="4">
        <v>4937.17</v>
      </c>
      <c r="K707" t="s">
        <v>58</v>
      </c>
      <c r="L707" s="3">
        <f>(Table1[[#This Row],[Profit]]/Table1[[#This Row],[Sales_Amount]])*100</f>
        <v>21.76211045973465</v>
      </c>
      <c r="M707" s="4" t="str" cm="1">
        <f t="array" ref="M707">_xlfn.IFS(Table1[[#This Row],[Sales_Amount]]&gt;200000,"High",AND(Table1[[#This Row],[Sales_Amount]]&gt;100000,Table1[[#This Row],[Sales_Amount]]&lt;200000),"Medium",Table1[[#This Row],[Sales_Amount]]&lt;100000,"Low")</f>
        <v>Low</v>
      </c>
      <c r="N707" t="str">
        <f>TEXT(Table1[[#This Row],[Order_Date]],"MMMM")</f>
        <v>May</v>
      </c>
      <c r="O707">
        <f>YEAR(Table1[[#This Row],[Order_Date]])</f>
        <v>2027</v>
      </c>
    </row>
    <row r="708" spans="1:15" x14ac:dyDescent="0.3">
      <c r="A708" t="s">
        <v>739</v>
      </c>
      <c r="B708" s="1">
        <v>46527</v>
      </c>
      <c r="C708" t="s">
        <v>17</v>
      </c>
      <c r="D708" t="s">
        <v>29</v>
      </c>
      <c r="E708" t="s">
        <v>19</v>
      </c>
      <c r="F708" s="3">
        <v>10</v>
      </c>
      <c r="G708" s="4">
        <v>39415</v>
      </c>
      <c r="H708" s="4">
        <v>394150</v>
      </c>
      <c r="I708" s="4">
        <v>299888.17</v>
      </c>
      <c r="J708" s="4">
        <v>94261.83</v>
      </c>
      <c r="K708" t="s">
        <v>58</v>
      </c>
      <c r="L708" s="3">
        <f>(Table1[[#This Row],[Profit]]/Table1[[#This Row],[Sales_Amount]])*100</f>
        <v>23.915217556767729</v>
      </c>
      <c r="M708" s="4" t="str" cm="1">
        <f t="array" ref="M708">_xlfn.IFS(Table1[[#This Row],[Sales_Amount]]&gt;200000,"High",AND(Table1[[#This Row],[Sales_Amount]]&gt;100000,Table1[[#This Row],[Sales_Amount]]&lt;200000),"Medium",Table1[[#This Row],[Sales_Amount]]&lt;100000,"Low")</f>
        <v>High</v>
      </c>
      <c r="N708" t="str">
        <f>TEXT(Table1[[#This Row],[Order_Date]],"MMMM")</f>
        <v>May</v>
      </c>
      <c r="O708">
        <f>YEAR(Table1[[#This Row],[Order_Date]])</f>
        <v>2027</v>
      </c>
    </row>
    <row r="709" spans="1:15" x14ac:dyDescent="0.3">
      <c r="A709" t="s">
        <v>740</v>
      </c>
      <c r="B709" s="1">
        <v>46528</v>
      </c>
      <c r="C709" t="s">
        <v>17</v>
      </c>
      <c r="D709" t="s">
        <v>21</v>
      </c>
      <c r="E709" t="s">
        <v>14</v>
      </c>
      <c r="F709" s="3">
        <v>4</v>
      </c>
      <c r="G709" s="4">
        <v>34493</v>
      </c>
      <c r="H709" s="4">
        <v>137972</v>
      </c>
      <c r="I709" s="4">
        <v>105046.46</v>
      </c>
      <c r="J709" s="4">
        <v>32925.54</v>
      </c>
      <c r="K709" t="s">
        <v>15</v>
      </c>
      <c r="L709" s="3">
        <f>(Table1[[#This Row],[Profit]]/Table1[[#This Row],[Sales_Amount]])*100</f>
        <v>23.863928913112805</v>
      </c>
      <c r="M709" s="4" t="str" cm="1">
        <f t="array" ref="M709">_xlfn.IFS(Table1[[#This Row],[Sales_Amount]]&gt;200000,"High",AND(Table1[[#This Row],[Sales_Amount]]&gt;100000,Table1[[#This Row],[Sales_Amount]]&lt;200000),"Medium",Table1[[#This Row],[Sales_Amount]]&lt;100000,"Low")</f>
        <v>Medium</v>
      </c>
      <c r="N709" t="str">
        <f>TEXT(Table1[[#This Row],[Order_Date]],"MMMM")</f>
        <v>May</v>
      </c>
      <c r="O709">
        <f>YEAR(Table1[[#This Row],[Order_Date]])</f>
        <v>2027</v>
      </c>
    </row>
    <row r="710" spans="1:15" x14ac:dyDescent="0.3">
      <c r="A710" t="s">
        <v>741</v>
      </c>
      <c r="B710" s="1">
        <v>46529</v>
      </c>
      <c r="C710" t="s">
        <v>40</v>
      </c>
      <c r="D710" t="s">
        <v>56</v>
      </c>
      <c r="E710" t="s">
        <v>32</v>
      </c>
      <c r="F710" s="3">
        <v>8</v>
      </c>
      <c r="G710" s="4">
        <v>26585</v>
      </c>
      <c r="H710" s="4">
        <v>212680</v>
      </c>
      <c r="I710" s="4">
        <v>184036.1</v>
      </c>
      <c r="J710" s="4">
        <v>28643.9</v>
      </c>
      <c r="K710" t="s">
        <v>23</v>
      </c>
      <c r="L710" s="3">
        <f>(Table1[[#This Row],[Profit]]/Table1[[#This Row],[Sales_Amount]])*100</f>
        <v>13.468074101937184</v>
      </c>
      <c r="M710" s="4" t="str" cm="1">
        <f t="array" ref="M710">_xlfn.IFS(Table1[[#This Row],[Sales_Amount]]&gt;200000,"High",AND(Table1[[#This Row],[Sales_Amount]]&gt;100000,Table1[[#This Row],[Sales_Amount]]&lt;200000),"Medium",Table1[[#This Row],[Sales_Amount]]&lt;100000,"Low")</f>
        <v>High</v>
      </c>
      <c r="N710" t="str">
        <f>TEXT(Table1[[#This Row],[Order_Date]],"MMMM")</f>
        <v>May</v>
      </c>
      <c r="O710">
        <f>YEAR(Table1[[#This Row],[Order_Date]])</f>
        <v>2027</v>
      </c>
    </row>
    <row r="711" spans="1:15" x14ac:dyDescent="0.3">
      <c r="A711" t="s">
        <v>742</v>
      </c>
      <c r="B711" s="1">
        <v>46530</v>
      </c>
      <c r="C711" t="s">
        <v>12</v>
      </c>
      <c r="D711" t="s">
        <v>56</v>
      </c>
      <c r="E711" t="s">
        <v>32</v>
      </c>
      <c r="F711" s="3">
        <v>10</v>
      </c>
      <c r="G711" s="4">
        <v>4074</v>
      </c>
      <c r="H711" s="4">
        <v>40740</v>
      </c>
      <c r="I711" s="4">
        <v>32876.61</v>
      </c>
      <c r="J711" s="4">
        <v>7863.39</v>
      </c>
      <c r="K711" t="s">
        <v>58</v>
      </c>
      <c r="L711" s="3">
        <f>(Table1[[#This Row],[Profit]]/Table1[[#This Row],[Sales_Amount]])*100</f>
        <v>19.301399116347572</v>
      </c>
      <c r="M711" s="4" t="str" cm="1">
        <f t="array" ref="M711">_xlfn.IFS(Table1[[#This Row],[Sales_Amount]]&gt;200000,"High",AND(Table1[[#This Row],[Sales_Amount]]&gt;100000,Table1[[#This Row],[Sales_Amount]]&lt;200000),"Medium",Table1[[#This Row],[Sales_Amount]]&lt;100000,"Low")</f>
        <v>Low</v>
      </c>
      <c r="N711" t="str">
        <f>TEXT(Table1[[#This Row],[Order_Date]],"MMMM")</f>
        <v>May</v>
      </c>
      <c r="O711">
        <f>YEAR(Table1[[#This Row],[Order_Date]])</f>
        <v>2027</v>
      </c>
    </row>
    <row r="712" spans="1:15" x14ac:dyDescent="0.3">
      <c r="A712" t="s">
        <v>743</v>
      </c>
      <c r="B712" s="1">
        <v>46531</v>
      </c>
      <c r="C712" t="s">
        <v>12</v>
      </c>
      <c r="D712" t="s">
        <v>21</v>
      </c>
      <c r="E712" t="s">
        <v>19</v>
      </c>
      <c r="F712" s="3">
        <v>9</v>
      </c>
      <c r="G712" s="4">
        <v>7916</v>
      </c>
      <c r="H712" s="4">
        <v>71244</v>
      </c>
      <c r="I712" s="4">
        <v>46588.69</v>
      </c>
      <c r="J712" s="4">
        <v>24655.31</v>
      </c>
      <c r="K712" t="s">
        <v>58</v>
      </c>
      <c r="L712" s="3">
        <f>(Table1[[#This Row],[Profit]]/Table1[[#This Row],[Sales_Amount]])*100</f>
        <v>34.606858121385663</v>
      </c>
      <c r="M712" s="4" t="str" cm="1">
        <f t="array" ref="M712">_xlfn.IFS(Table1[[#This Row],[Sales_Amount]]&gt;200000,"High",AND(Table1[[#This Row],[Sales_Amount]]&gt;100000,Table1[[#This Row],[Sales_Amount]]&lt;200000),"Medium",Table1[[#This Row],[Sales_Amount]]&lt;100000,"Low")</f>
        <v>Low</v>
      </c>
      <c r="N712" t="str">
        <f>TEXT(Table1[[#This Row],[Order_Date]],"MMMM")</f>
        <v>May</v>
      </c>
      <c r="O712">
        <f>YEAR(Table1[[#This Row],[Order_Date]])</f>
        <v>2027</v>
      </c>
    </row>
    <row r="713" spans="1:15" x14ac:dyDescent="0.3">
      <c r="A713" t="s">
        <v>744</v>
      </c>
      <c r="B713" s="1">
        <v>46532</v>
      </c>
      <c r="C713" t="s">
        <v>12</v>
      </c>
      <c r="D713" t="s">
        <v>56</v>
      </c>
      <c r="E713" t="s">
        <v>37</v>
      </c>
      <c r="F713" s="3">
        <v>1</v>
      </c>
      <c r="G713" s="4">
        <v>12222</v>
      </c>
      <c r="H713" s="4">
        <v>12222</v>
      </c>
      <c r="I713" s="4">
        <v>8996.67</v>
      </c>
      <c r="J713" s="4">
        <v>3225.33</v>
      </c>
      <c r="K713" t="s">
        <v>15</v>
      </c>
      <c r="L713" s="3">
        <f>(Table1[[#This Row],[Profit]]/Table1[[#This Row],[Sales_Amount]])*100</f>
        <v>26.389543446244478</v>
      </c>
      <c r="M713" s="4" t="str" cm="1">
        <f t="array" ref="M713">_xlfn.IFS(Table1[[#This Row],[Sales_Amount]]&gt;200000,"High",AND(Table1[[#This Row],[Sales_Amount]]&gt;100000,Table1[[#This Row],[Sales_Amount]]&lt;200000),"Medium",Table1[[#This Row],[Sales_Amount]]&lt;100000,"Low")</f>
        <v>Low</v>
      </c>
      <c r="N713" t="str">
        <f>TEXT(Table1[[#This Row],[Order_Date]],"MMMM")</f>
        <v>May</v>
      </c>
      <c r="O713">
        <f>YEAR(Table1[[#This Row],[Order_Date]])</f>
        <v>2027</v>
      </c>
    </row>
    <row r="714" spans="1:15" x14ac:dyDescent="0.3">
      <c r="A714" t="s">
        <v>745</v>
      </c>
      <c r="B714" s="1">
        <v>46533</v>
      </c>
      <c r="C714" t="s">
        <v>17</v>
      </c>
      <c r="D714" t="s">
        <v>29</v>
      </c>
      <c r="E714" t="s">
        <v>32</v>
      </c>
      <c r="F714" s="3">
        <v>3</v>
      </c>
      <c r="G714" s="4">
        <v>47579</v>
      </c>
      <c r="H714" s="4">
        <v>142737</v>
      </c>
      <c r="I714" s="4">
        <v>117041.3</v>
      </c>
      <c r="J714" s="4">
        <v>25695.7</v>
      </c>
      <c r="K714" t="s">
        <v>58</v>
      </c>
      <c r="L714" s="3">
        <f>(Table1[[#This Row],[Profit]]/Table1[[#This Row],[Sales_Amount]])*100</f>
        <v>18.00212979115436</v>
      </c>
      <c r="M714" s="4" t="str" cm="1">
        <f t="array" ref="M714">_xlfn.IFS(Table1[[#This Row],[Sales_Amount]]&gt;200000,"High",AND(Table1[[#This Row],[Sales_Amount]]&gt;100000,Table1[[#This Row],[Sales_Amount]]&lt;200000),"Medium",Table1[[#This Row],[Sales_Amount]]&lt;100000,"Low")</f>
        <v>Medium</v>
      </c>
      <c r="N714" t="str">
        <f>TEXT(Table1[[#This Row],[Order_Date]],"MMMM")</f>
        <v>May</v>
      </c>
      <c r="O714">
        <f>YEAR(Table1[[#This Row],[Order_Date]])</f>
        <v>2027</v>
      </c>
    </row>
    <row r="715" spans="1:15" x14ac:dyDescent="0.3">
      <c r="A715" t="s">
        <v>746</v>
      </c>
      <c r="B715" s="1">
        <v>46534</v>
      </c>
      <c r="C715" t="s">
        <v>12</v>
      </c>
      <c r="D715" t="s">
        <v>21</v>
      </c>
      <c r="E715" t="s">
        <v>32</v>
      </c>
      <c r="F715" s="3">
        <v>2</v>
      </c>
      <c r="G715" s="4">
        <v>34828</v>
      </c>
      <c r="H715" s="4">
        <v>69656</v>
      </c>
      <c r="I715" s="4">
        <v>56573.47</v>
      </c>
      <c r="J715" s="4">
        <v>13082.53</v>
      </c>
      <c r="K715" t="s">
        <v>58</v>
      </c>
      <c r="L715" s="3">
        <f>(Table1[[#This Row],[Profit]]/Table1[[#This Row],[Sales_Amount]])*100</f>
        <v>18.781626851958194</v>
      </c>
      <c r="M715" s="4" t="str" cm="1">
        <f t="array" ref="M715">_xlfn.IFS(Table1[[#This Row],[Sales_Amount]]&gt;200000,"High",AND(Table1[[#This Row],[Sales_Amount]]&gt;100000,Table1[[#This Row],[Sales_Amount]]&lt;200000),"Medium",Table1[[#This Row],[Sales_Amount]]&lt;100000,"Low")</f>
        <v>Low</v>
      </c>
      <c r="N715" t="str">
        <f>TEXT(Table1[[#This Row],[Order_Date]],"MMMM")</f>
        <v>May</v>
      </c>
      <c r="O715">
        <f>YEAR(Table1[[#This Row],[Order_Date]])</f>
        <v>2027</v>
      </c>
    </row>
    <row r="716" spans="1:15" x14ac:dyDescent="0.3">
      <c r="A716" t="s">
        <v>747</v>
      </c>
      <c r="B716" s="1">
        <v>46535</v>
      </c>
      <c r="C716" t="s">
        <v>12</v>
      </c>
      <c r="D716" t="s">
        <v>13</v>
      </c>
      <c r="E716" t="s">
        <v>22</v>
      </c>
      <c r="F716" s="3">
        <v>6</v>
      </c>
      <c r="G716" s="4">
        <v>37560</v>
      </c>
      <c r="H716" s="4">
        <v>225360</v>
      </c>
      <c r="I716" s="4">
        <v>194123.22</v>
      </c>
      <c r="J716" s="4">
        <v>31236.78</v>
      </c>
      <c r="K716" t="s">
        <v>23</v>
      </c>
      <c r="L716" s="3">
        <f>(Table1[[#This Row],[Profit]]/Table1[[#This Row],[Sales_Amount]])*100</f>
        <v>13.860835995740148</v>
      </c>
      <c r="M716" s="4" t="str" cm="1">
        <f t="array" ref="M716">_xlfn.IFS(Table1[[#This Row],[Sales_Amount]]&gt;200000,"High",AND(Table1[[#This Row],[Sales_Amount]]&gt;100000,Table1[[#This Row],[Sales_Amount]]&lt;200000),"Medium",Table1[[#This Row],[Sales_Amount]]&lt;100000,"Low")</f>
        <v>High</v>
      </c>
      <c r="N716" t="str">
        <f>TEXT(Table1[[#This Row],[Order_Date]],"MMMM")</f>
        <v>May</v>
      </c>
      <c r="O716">
        <f>YEAR(Table1[[#This Row],[Order_Date]])</f>
        <v>2027</v>
      </c>
    </row>
    <row r="717" spans="1:15" x14ac:dyDescent="0.3">
      <c r="A717" t="s">
        <v>748</v>
      </c>
      <c r="B717" s="1">
        <v>46536</v>
      </c>
      <c r="C717" t="s">
        <v>28</v>
      </c>
      <c r="D717" t="s">
        <v>44</v>
      </c>
      <c r="E717" t="s">
        <v>19</v>
      </c>
      <c r="F717" s="3">
        <v>1</v>
      </c>
      <c r="G717" s="4">
        <v>27997</v>
      </c>
      <c r="H717" s="4">
        <v>27997</v>
      </c>
      <c r="I717" s="4">
        <v>19385.650000000001</v>
      </c>
      <c r="J717" s="4">
        <v>8611.35</v>
      </c>
      <c r="K717" t="s">
        <v>23</v>
      </c>
      <c r="L717" s="3">
        <f>(Table1[[#This Row],[Profit]]/Table1[[#This Row],[Sales_Amount]])*100</f>
        <v>30.758116941100834</v>
      </c>
      <c r="M717" s="4" t="str" cm="1">
        <f t="array" ref="M717">_xlfn.IFS(Table1[[#This Row],[Sales_Amount]]&gt;200000,"High",AND(Table1[[#This Row],[Sales_Amount]]&gt;100000,Table1[[#This Row],[Sales_Amount]]&lt;200000),"Medium",Table1[[#This Row],[Sales_Amount]]&lt;100000,"Low")</f>
        <v>Low</v>
      </c>
      <c r="N717" t="str">
        <f>TEXT(Table1[[#This Row],[Order_Date]],"MMMM")</f>
        <v>May</v>
      </c>
      <c r="O717">
        <f>YEAR(Table1[[#This Row],[Order_Date]])</f>
        <v>2027</v>
      </c>
    </row>
    <row r="718" spans="1:15" x14ac:dyDescent="0.3">
      <c r="A718" t="s">
        <v>749</v>
      </c>
      <c r="B718" s="1">
        <v>46537</v>
      </c>
      <c r="C718" t="s">
        <v>40</v>
      </c>
      <c r="D718" t="s">
        <v>18</v>
      </c>
      <c r="E718" t="s">
        <v>22</v>
      </c>
      <c r="F718" s="3">
        <v>4</v>
      </c>
      <c r="G718" s="4">
        <v>731</v>
      </c>
      <c r="H718" s="4">
        <v>2924</v>
      </c>
      <c r="I718" s="4">
        <v>2300.5100000000002</v>
      </c>
      <c r="J718" s="4">
        <v>623.49</v>
      </c>
      <c r="K718" t="s">
        <v>58</v>
      </c>
      <c r="L718" s="3">
        <f>(Table1[[#This Row],[Profit]]/Table1[[#This Row],[Sales_Amount]])*100</f>
        <v>21.323187414500687</v>
      </c>
      <c r="M718" s="4" t="str" cm="1">
        <f t="array" ref="M718">_xlfn.IFS(Table1[[#This Row],[Sales_Amount]]&gt;200000,"High",AND(Table1[[#This Row],[Sales_Amount]]&gt;100000,Table1[[#This Row],[Sales_Amount]]&lt;200000),"Medium",Table1[[#This Row],[Sales_Amount]]&lt;100000,"Low")</f>
        <v>Low</v>
      </c>
      <c r="N718" t="str">
        <f>TEXT(Table1[[#This Row],[Order_Date]],"MMMM")</f>
        <v>May</v>
      </c>
      <c r="O718">
        <f>YEAR(Table1[[#This Row],[Order_Date]])</f>
        <v>2027</v>
      </c>
    </row>
    <row r="719" spans="1:15" x14ac:dyDescent="0.3">
      <c r="A719" t="s">
        <v>750</v>
      </c>
      <c r="B719" s="1">
        <v>46538</v>
      </c>
      <c r="C719" t="s">
        <v>28</v>
      </c>
      <c r="D719" t="s">
        <v>51</v>
      </c>
      <c r="E719" t="s">
        <v>37</v>
      </c>
      <c r="F719" s="3">
        <v>9</v>
      </c>
      <c r="G719" s="4">
        <v>876</v>
      </c>
      <c r="H719" s="4">
        <v>7884</v>
      </c>
      <c r="I719" s="4">
        <v>6168.4</v>
      </c>
      <c r="J719" s="4">
        <v>1715.6</v>
      </c>
      <c r="K719" t="s">
        <v>23</v>
      </c>
      <c r="L719" s="3">
        <f>(Table1[[#This Row],[Profit]]/Table1[[#This Row],[Sales_Amount]])*100</f>
        <v>21.760527650938606</v>
      </c>
      <c r="M719" s="4" t="str" cm="1">
        <f t="array" ref="M719">_xlfn.IFS(Table1[[#This Row],[Sales_Amount]]&gt;200000,"High",AND(Table1[[#This Row],[Sales_Amount]]&gt;100000,Table1[[#This Row],[Sales_Amount]]&lt;200000),"Medium",Table1[[#This Row],[Sales_Amount]]&lt;100000,"Low")</f>
        <v>Low</v>
      </c>
      <c r="N719" t="str">
        <f>TEXT(Table1[[#This Row],[Order_Date]],"MMMM")</f>
        <v>May</v>
      </c>
      <c r="O719">
        <f>YEAR(Table1[[#This Row],[Order_Date]])</f>
        <v>2027</v>
      </c>
    </row>
    <row r="720" spans="1:15" x14ac:dyDescent="0.3">
      <c r="A720" t="s">
        <v>751</v>
      </c>
      <c r="B720" s="1">
        <v>46539</v>
      </c>
      <c r="C720" t="s">
        <v>17</v>
      </c>
      <c r="D720" t="s">
        <v>18</v>
      </c>
      <c r="E720" t="s">
        <v>19</v>
      </c>
      <c r="F720" s="3">
        <v>8</v>
      </c>
      <c r="G720" s="4">
        <v>30236</v>
      </c>
      <c r="H720" s="4">
        <v>241888</v>
      </c>
      <c r="I720" s="4">
        <v>174896.01</v>
      </c>
      <c r="J720" s="4">
        <v>66991.990000000005</v>
      </c>
      <c r="K720" t="s">
        <v>23</v>
      </c>
      <c r="L720" s="3">
        <f>(Table1[[#This Row],[Profit]]/Table1[[#This Row],[Sales_Amount]])*100</f>
        <v>27.695458228601673</v>
      </c>
      <c r="M720" s="4" t="str" cm="1">
        <f t="array" ref="M720">_xlfn.IFS(Table1[[#This Row],[Sales_Amount]]&gt;200000,"High",AND(Table1[[#This Row],[Sales_Amount]]&gt;100000,Table1[[#This Row],[Sales_Amount]]&lt;200000),"Medium",Table1[[#This Row],[Sales_Amount]]&lt;100000,"Low")</f>
        <v>High</v>
      </c>
      <c r="N720" t="str">
        <f>TEXT(Table1[[#This Row],[Order_Date]],"MMMM")</f>
        <v>June</v>
      </c>
      <c r="O720">
        <f>YEAR(Table1[[#This Row],[Order_Date]])</f>
        <v>2027</v>
      </c>
    </row>
    <row r="721" spans="1:15" x14ac:dyDescent="0.3">
      <c r="A721" t="s">
        <v>752</v>
      </c>
      <c r="B721" s="1">
        <v>46540</v>
      </c>
      <c r="C721" t="s">
        <v>12</v>
      </c>
      <c r="D721" t="s">
        <v>18</v>
      </c>
      <c r="E721" t="s">
        <v>32</v>
      </c>
      <c r="F721" s="3">
        <v>10</v>
      </c>
      <c r="G721" s="4">
        <v>41698</v>
      </c>
      <c r="H721" s="4">
        <v>416980</v>
      </c>
      <c r="I721" s="4">
        <v>319933.99</v>
      </c>
      <c r="J721" s="4">
        <v>97046.01</v>
      </c>
      <c r="K721" t="s">
        <v>23</v>
      </c>
      <c r="L721" s="3">
        <f>(Table1[[#This Row],[Profit]]/Table1[[#This Row],[Sales_Amount]])*100</f>
        <v>23.273540697395557</v>
      </c>
      <c r="M721" s="4" t="str" cm="1">
        <f t="array" ref="M721">_xlfn.IFS(Table1[[#This Row],[Sales_Amount]]&gt;200000,"High",AND(Table1[[#This Row],[Sales_Amount]]&gt;100000,Table1[[#This Row],[Sales_Amount]]&lt;200000),"Medium",Table1[[#This Row],[Sales_Amount]]&lt;100000,"Low")</f>
        <v>High</v>
      </c>
      <c r="N721" t="str">
        <f>TEXT(Table1[[#This Row],[Order_Date]],"MMMM")</f>
        <v>June</v>
      </c>
      <c r="O721">
        <f>YEAR(Table1[[#This Row],[Order_Date]])</f>
        <v>2027</v>
      </c>
    </row>
    <row r="722" spans="1:15" x14ac:dyDescent="0.3">
      <c r="A722" t="s">
        <v>753</v>
      </c>
      <c r="B722" s="1">
        <v>46541</v>
      </c>
      <c r="C722" t="s">
        <v>17</v>
      </c>
      <c r="D722" t="s">
        <v>44</v>
      </c>
      <c r="E722" t="s">
        <v>14</v>
      </c>
      <c r="F722" s="3">
        <v>6</v>
      </c>
      <c r="G722" s="4">
        <v>2906</v>
      </c>
      <c r="H722" s="4">
        <v>17436</v>
      </c>
      <c r="I722" s="4">
        <v>11222.02</v>
      </c>
      <c r="J722" s="4">
        <v>6213.98</v>
      </c>
      <c r="K722" t="s">
        <v>26</v>
      </c>
      <c r="L722" s="3">
        <f>(Table1[[#This Row],[Profit]]/Table1[[#This Row],[Sales_Amount]])*100</f>
        <v>35.63879330121587</v>
      </c>
      <c r="M722" s="4" t="str" cm="1">
        <f t="array" ref="M722">_xlfn.IFS(Table1[[#This Row],[Sales_Amount]]&gt;200000,"High",AND(Table1[[#This Row],[Sales_Amount]]&gt;100000,Table1[[#This Row],[Sales_Amount]]&lt;200000),"Medium",Table1[[#This Row],[Sales_Amount]]&lt;100000,"Low")</f>
        <v>Low</v>
      </c>
      <c r="N722" t="str">
        <f>TEXT(Table1[[#This Row],[Order_Date]],"MMMM")</f>
        <v>June</v>
      </c>
      <c r="O722">
        <f>YEAR(Table1[[#This Row],[Order_Date]])</f>
        <v>2027</v>
      </c>
    </row>
    <row r="723" spans="1:15" x14ac:dyDescent="0.3">
      <c r="A723" t="s">
        <v>754</v>
      </c>
      <c r="B723" s="1">
        <v>46542</v>
      </c>
      <c r="C723" t="s">
        <v>12</v>
      </c>
      <c r="D723" t="s">
        <v>44</v>
      </c>
      <c r="E723" t="s">
        <v>14</v>
      </c>
      <c r="F723" s="3">
        <v>2</v>
      </c>
      <c r="G723" s="4">
        <v>27825</v>
      </c>
      <c r="H723" s="4">
        <v>55650</v>
      </c>
      <c r="I723" s="4">
        <v>49980.41</v>
      </c>
      <c r="J723" s="4">
        <v>5669.59</v>
      </c>
      <c r="K723" t="s">
        <v>23</v>
      </c>
      <c r="L723" s="3">
        <f>(Table1[[#This Row],[Profit]]/Table1[[#This Row],[Sales_Amount]])*100</f>
        <v>10.187942497753818</v>
      </c>
      <c r="M723" s="4" t="str" cm="1">
        <f t="array" ref="M723">_xlfn.IFS(Table1[[#This Row],[Sales_Amount]]&gt;200000,"High",AND(Table1[[#This Row],[Sales_Amount]]&gt;100000,Table1[[#This Row],[Sales_Amount]]&lt;200000),"Medium",Table1[[#This Row],[Sales_Amount]]&lt;100000,"Low")</f>
        <v>Low</v>
      </c>
      <c r="N723" t="str">
        <f>TEXT(Table1[[#This Row],[Order_Date]],"MMMM")</f>
        <v>June</v>
      </c>
      <c r="O723">
        <f>YEAR(Table1[[#This Row],[Order_Date]])</f>
        <v>2027</v>
      </c>
    </row>
    <row r="724" spans="1:15" x14ac:dyDescent="0.3">
      <c r="A724" t="s">
        <v>755</v>
      </c>
      <c r="B724" s="1">
        <v>46543</v>
      </c>
      <c r="C724" t="s">
        <v>17</v>
      </c>
      <c r="D724" t="s">
        <v>44</v>
      </c>
      <c r="E724" t="s">
        <v>19</v>
      </c>
      <c r="F724" s="3">
        <v>10</v>
      </c>
      <c r="G724" s="4">
        <v>24105</v>
      </c>
      <c r="H724" s="4">
        <v>241050</v>
      </c>
      <c r="I724" s="4">
        <v>211989.96</v>
      </c>
      <c r="J724" s="4">
        <v>29060.04</v>
      </c>
      <c r="K724" t="s">
        <v>26</v>
      </c>
      <c r="L724" s="3">
        <f>(Table1[[#This Row],[Profit]]/Table1[[#This Row],[Sales_Amount]])*100</f>
        <v>12.055606720597387</v>
      </c>
      <c r="M724" s="4" t="str" cm="1">
        <f t="array" ref="M724">_xlfn.IFS(Table1[[#This Row],[Sales_Amount]]&gt;200000,"High",AND(Table1[[#This Row],[Sales_Amount]]&gt;100000,Table1[[#This Row],[Sales_Amount]]&lt;200000),"Medium",Table1[[#This Row],[Sales_Amount]]&lt;100000,"Low")</f>
        <v>High</v>
      </c>
      <c r="N724" t="str">
        <f>TEXT(Table1[[#This Row],[Order_Date]],"MMMM")</f>
        <v>June</v>
      </c>
      <c r="O724">
        <f>YEAR(Table1[[#This Row],[Order_Date]])</f>
        <v>2027</v>
      </c>
    </row>
    <row r="725" spans="1:15" x14ac:dyDescent="0.3">
      <c r="A725" t="s">
        <v>756</v>
      </c>
      <c r="B725" s="1">
        <v>46544</v>
      </c>
      <c r="C725" t="s">
        <v>17</v>
      </c>
      <c r="D725" t="s">
        <v>44</v>
      </c>
      <c r="E725" t="s">
        <v>37</v>
      </c>
      <c r="F725" s="3">
        <v>2</v>
      </c>
      <c r="G725" s="4">
        <v>28505</v>
      </c>
      <c r="H725" s="4">
        <v>57010</v>
      </c>
      <c r="I725" s="4">
        <v>48629.120000000003</v>
      </c>
      <c r="J725" s="4">
        <v>8380.8799999999992</v>
      </c>
      <c r="K725" t="s">
        <v>58</v>
      </c>
      <c r="L725" s="3">
        <f>(Table1[[#This Row],[Profit]]/Table1[[#This Row],[Sales_Amount]])*100</f>
        <v>14.700719172075072</v>
      </c>
      <c r="M725" s="4" t="str" cm="1">
        <f t="array" ref="M725">_xlfn.IFS(Table1[[#This Row],[Sales_Amount]]&gt;200000,"High",AND(Table1[[#This Row],[Sales_Amount]]&gt;100000,Table1[[#This Row],[Sales_Amount]]&lt;200000),"Medium",Table1[[#This Row],[Sales_Amount]]&lt;100000,"Low")</f>
        <v>Low</v>
      </c>
      <c r="N725" t="str">
        <f>TEXT(Table1[[#This Row],[Order_Date]],"MMMM")</f>
        <v>June</v>
      </c>
      <c r="O725">
        <f>YEAR(Table1[[#This Row],[Order_Date]])</f>
        <v>2027</v>
      </c>
    </row>
    <row r="726" spans="1:15" x14ac:dyDescent="0.3">
      <c r="A726" t="s">
        <v>757</v>
      </c>
      <c r="B726" s="1">
        <v>46545</v>
      </c>
      <c r="C726" t="s">
        <v>12</v>
      </c>
      <c r="D726" t="s">
        <v>51</v>
      </c>
      <c r="E726" t="s">
        <v>14</v>
      </c>
      <c r="F726" s="3">
        <v>5</v>
      </c>
      <c r="G726" s="4">
        <v>22075</v>
      </c>
      <c r="H726" s="4">
        <v>110375</v>
      </c>
      <c r="I726" s="4">
        <v>83677.03</v>
      </c>
      <c r="J726" s="4">
        <v>26697.97</v>
      </c>
      <c r="K726" t="s">
        <v>15</v>
      </c>
      <c r="L726" s="3">
        <f>(Table1[[#This Row],[Profit]]/Table1[[#This Row],[Sales_Amount]])*100</f>
        <v>24.188421291053228</v>
      </c>
      <c r="M726" s="4" t="str" cm="1">
        <f t="array" ref="M726">_xlfn.IFS(Table1[[#This Row],[Sales_Amount]]&gt;200000,"High",AND(Table1[[#This Row],[Sales_Amount]]&gt;100000,Table1[[#This Row],[Sales_Amount]]&lt;200000),"Medium",Table1[[#This Row],[Sales_Amount]]&lt;100000,"Low")</f>
        <v>Medium</v>
      </c>
      <c r="N726" t="str">
        <f>TEXT(Table1[[#This Row],[Order_Date]],"MMMM")</f>
        <v>June</v>
      </c>
      <c r="O726">
        <f>YEAR(Table1[[#This Row],[Order_Date]])</f>
        <v>2027</v>
      </c>
    </row>
    <row r="727" spans="1:15" x14ac:dyDescent="0.3">
      <c r="A727" t="s">
        <v>758</v>
      </c>
      <c r="B727" s="1">
        <v>46546</v>
      </c>
      <c r="C727" t="s">
        <v>40</v>
      </c>
      <c r="D727" t="s">
        <v>21</v>
      </c>
      <c r="E727" t="s">
        <v>25</v>
      </c>
      <c r="F727" s="3">
        <v>9</v>
      </c>
      <c r="G727" s="4">
        <v>6245</v>
      </c>
      <c r="H727" s="4">
        <v>56205</v>
      </c>
      <c r="I727" s="4">
        <v>41878.28</v>
      </c>
      <c r="J727" s="4">
        <v>14326.72</v>
      </c>
      <c r="K727" t="s">
        <v>26</v>
      </c>
      <c r="L727" s="3">
        <f>(Table1[[#This Row],[Profit]]/Table1[[#This Row],[Sales_Amount]])*100</f>
        <v>25.490116537674584</v>
      </c>
      <c r="M727" s="4" t="str" cm="1">
        <f t="array" ref="M727">_xlfn.IFS(Table1[[#This Row],[Sales_Amount]]&gt;200000,"High",AND(Table1[[#This Row],[Sales_Amount]]&gt;100000,Table1[[#This Row],[Sales_Amount]]&lt;200000),"Medium",Table1[[#This Row],[Sales_Amount]]&lt;100000,"Low")</f>
        <v>Low</v>
      </c>
      <c r="N727" t="str">
        <f>TEXT(Table1[[#This Row],[Order_Date]],"MMMM")</f>
        <v>June</v>
      </c>
      <c r="O727">
        <f>YEAR(Table1[[#This Row],[Order_Date]])</f>
        <v>2027</v>
      </c>
    </row>
    <row r="728" spans="1:15" x14ac:dyDescent="0.3">
      <c r="A728" t="s">
        <v>759</v>
      </c>
      <c r="B728" s="1">
        <v>46547</v>
      </c>
      <c r="C728" t="s">
        <v>12</v>
      </c>
      <c r="D728" t="s">
        <v>56</v>
      </c>
      <c r="E728" t="s">
        <v>25</v>
      </c>
      <c r="F728" s="3">
        <v>10</v>
      </c>
      <c r="G728" s="4">
        <v>41344</v>
      </c>
      <c r="H728" s="4">
        <v>413440</v>
      </c>
      <c r="I728" s="4">
        <v>291953.14</v>
      </c>
      <c r="J728" s="4">
        <v>121486.86</v>
      </c>
      <c r="K728" t="s">
        <v>58</v>
      </c>
      <c r="L728" s="3">
        <f>(Table1[[#This Row],[Profit]]/Table1[[#This Row],[Sales_Amount]])*100</f>
        <v>29.384399187306503</v>
      </c>
      <c r="M728" s="4" t="str" cm="1">
        <f t="array" ref="M728">_xlfn.IFS(Table1[[#This Row],[Sales_Amount]]&gt;200000,"High",AND(Table1[[#This Row],[Sales_Amount]]&gt;100000,Table1[[#This Row],[Sales_Amount]]&lt;200000),"Medium",Table1[[#This Row],[Sales_Amount]]&lt;100000,"Low")</f>
        <v>High</v>
      </c>
      <c r="N728" t="str">
        <f>TEXT(Table1[[#This Row],[Order_Date]],"MMMM")</f>
        <v>June</v>
      </c>
      <c r="O728">
        <f>YEAR(Table1[[#This Row],[Order_Date]])</f>
        <v>2027</v>
      </c>
    </row>
    <row r="729" spans="1:15" x14ac:dyDescent="0.3">
      <c r="A729" t="s">
        <v>760</v>
      </c>
      <c r="B729" s="1">
        <v>46548</v>
      </c>
      <c r="C729" t="s">
        <v>12</v>
      </c>
      <c r="D729" t="s">
        <v>18</v>
      </c>
      <c r="E729" t="s">
        <v>22</v>
      </c>
      <c r="F729" s="3">
        <v>10</v>
      </c>
      <c r="G729" s="4">
        <v>15751</v>
      </c>
      <c r="H729" s="4">
        <v>157510</v>
      </c>
      <c r="I729" s="4">
        <v>127988.86</v>
      </c>
      <c r="J729" s="4">
        <v>29521.14</v>
      </c>
      <c r="K729" t="s">
        <v>15</v>
      </c>
      <c r="L729" s="3">
        <f>(Table1[[#This Row],[Profit]]/Table1[[#This Row],[Sales_Amount]])*100</f>
        <v>18.742390959304171</v>
      </c>
      <c r="M729" s="4" t="str" cm="1">
        <f t="array" ref="M729">_xlfn.IFS(Table1[[#This Row],[Sales_Amount]]&gt;200000,"High",AND(Table1[[#This Row],[Sales_Amount]]&gt;100000,Table1[[#This Row],[Sales_Amount]]&lt;200000),"Medium",Table1[[#This Row],[Sales_Amount]]&lt;100000,"Low")</f>
        <v>Medium</v>
      </c>
      <c r="N729" t="str">
        <f>TEXT(Table1[[#This Row],[Order_Date]],"MMMM")</f>
        <v>June</v>
      </c>
      <c r="O729">
        <f>YEAR(Table1[[#This Row],[Order_Date]])</f>
        <v>2027</v>
      </c>
    </row>
    <row r="730" spans="1:15" x14ac:dyDescent="0.3">
      <c r="A730" t="s">
        <v>761</v>
      </c>
      <c r="B730" s="1">
        <v>46549</v>
      </c>
      <c r="C730" t="s">
        <v>28</v>
      </c>
      <c r="D730" t="s">
        <v>21</v>
      </c>
      <c r="E730" t="s">
        <v>37</v>
      </c>
      <c r="F730" s="3">
        <v>2</v>
      </c>
      <c r="G730" s="4">
        <v>48830</v>
      </c>
      <c r="H730" s="4">
        <v>97660</v>
      </c>
      <c r="I730" s="4">
        <v>83442.75</v>
      </c>
      <c r="J730" s="4">
        <v>14217.25</v>
      </c>
      <c r="K730" t="s">
        <v>15</v>
      </c>
      <c r="L730" s="3">
        <f>(Table1[[#This Row],[Profit]]/Table1[[#This Row],[Sales_Amount]])*100</f>
        <v>14.557904976448905</v>
      </c>
      <c r="M730" s="4" t="str" cm="1">
        <f t="array" ref="M730">_xlfn.IFS(Table1[[#This Row],[Sales_Amount]]&gt;200000,"High",AND(Table1[[#This Row],[Sales_Amount]]&gt;100000,Table1[[#This Row],[Sales_Amount]]&lt;200000),"Medium",Table1[[#This Row],[Sales_Amount]]&lt;100000,"Low")</f>
        <v>Low</v>
      </c>
      <c r="N730" t="str">
        <f>TEXT(Table1[[#This Row],[Order_Date]],"MMMM")</f>
        <v>June</v>
      </c>
      <c r="O730">
        <f>YEAR(Table1[[#This Row],[Order_Date]])</f>
        <v>2027</v>
      </c>
    </row>
    <row r="731" spans="1:15" x14ac:dyDescent="0.3">
      <c r="A731" t="s">
        <v>762</v>
      </c>
      <c r="B731" s="1">
        <v>46550</v>
      </c>
      <c r="C731" t="s">
        <v>12</v>
      </c>
      <c r="D731" t="s">
        <v>44</v>
      </c>
      <c r="E731" t="s">
        <v>32</v>
      </c>
      <c r="F731" s="3">
        <v>9</v>
      </c>
      <c r="G731" s="4">
        <v>42279</v>
      </c>
      <c r="H731" s="4">
        <v>380511</v>
      </c>
      <c r="I731" s="4">
        <v>252545.68</v>
      </c>
      <c r="J731" s="4">
        <v>127965.32</v>
      </c>
      <c r="K731" t="s">
        <v>26</v>
      </c>
      <c r="L731" s="3">
        <f>(Table1[[#This Row],[Profit]]/Table1[[#This Row],[Sales_Amount]])*100</f>
        <v>33.629860897582461</v>
      </c>
      <c r="M731" s="4" t="str" cm="1">
        <f t="array" ref="M731">_xlfn.IFS(Table1[[#This Row],[Sales_Amount]]&gt;200000,"High",AND(Table1[[#This Row],[Sales_Amount]]&gt;100000,Table1[[#This Row],[Sales_Amount]]&lt;200000),"Medium",Table1[[#This Row],[Sales_Amount]]&lt;100000,"Low")</f>
        <v>High</v>
      </c>
      <c r="N731" t="str">
        <f>TEXT(Table1[[#This Row],[Order_Date]],"MMMM")</f>
        <v>June</v>
      </c>
      <c r="O731">
        <f>YEAR(Table1[[#This Row],[Order_Date]])</f>
        <v>2027</v>
      </c>
    </row>
    <row r="732" spans="1:15" x14ac:dyDescent="0.3">
      <c r="A732" t="s">
        <v>763</v>
      </c>
      <c r="B732" s="1">
        <v>46551</v>
      </c>
      <c r="C732" t="s">
        <v>17</v>
      </c>
      <c r="D732" t="s">
        <v>29</v>
      </c>
      <c r="E732" t="s">
        <v>32</v>
      </c>
      <c r="F732" s="3">
        <v>5</v>
      </c>
      <c r="G732" s="4">
        <v>33706</v>
      </c>
      <c r="H732" s="4">
        <v>168530</v>
      </c>
      <c r="I732" s="4">
        <v>128925.13</v>
      </c>
      <c r="J732" s="4">
        <v>39604.870000000003</v>
      </c>
      <c r="K732" t="s">
        <v>26</v>
      </c>
      <c r="L732" s="3">
        <f>(Table1[[#This Row],[Profit]]/Table1[[#This Row],[Sales_Amount]])*100</f>
        <v>23.500189877173206</v>
      </c>
      <c r="M732" s="4" t="str" cm="1">
        <f t="array" ref="M732">_xlfn.IFS(Table1[[#This Row],[Sales_Amount]]&gt;200000,"High",AND(Table1[[#This Row],[Sales_Amount]]&gt;100000,Table1[[#This Row],[Sales_Amount]]&lt;200000),"Medium",Table1[[#This Row],[Sales_Amount]]&lt;100000,"Low")</f>
        <v>Medium</v>
      </c>
      <c r="N732" t="str">
        <f>TEXT(Table1[[#This Row],[Order_Date]],"MMMM")</f>
        <v>June</v>
      </c>
      <c r="O732">
        <f>YEAR(Table1[[#This Row],[Order_Date]])</f>
        <v>2027</v>
      </c>
    </row>
    <row r="733" spans="1:15" x14ac:dyDescent="0.3">
      <c r="A733" t="s">
        <v>764</v>
      </c>
      <c r="B733" s="1">
        <v>46552</v>
      </c>
      <c r="C733" t="s">
        <v>12</v>
      </c>
      <c r="D733" t="s">
        <v>51</v>
      </c>
      <c r="E733" t="s">
        <v>37</v>
      </c>
      <c r="F733" s="3">
        <v>10</v>
      </c>
      <c r="G733" s="4">
        <v>40869</v>
      </c>
      <c r="H733" s="4">
        <v>408690</v>
      </c>
      <c r="I733" s="4">
        <v>362930.55</v>
      </c>
      <c r="J733" s="4">
        <v>45759.45</v>
      </c>
      <c r="K733" t="s">
        <v>26</v>
      </c>
      <c r="L733" s="3">
        <f>(Table1[[#This Row],[Profit]]/Table1[[#This Row],[Sales_Amount]])*100</f>
        <v>11.196616017030021</v>
      </c>
      <c r="M733" s="4" t="str" cm="1">
        <f t="array" ref="M733">_xlfn.IFS(Table1[[#This Row],[Sales_Amount]]&gt;200000,"High",AND(Table1[[#This Row],[Sales_Amount]]&gt;100000,Table1[[#This Row],[Sales_Amount]]&lt;200000),"Medium",Table1[[#This Row],[Sales_Amount]]&lt;100000,"Low")</f>
        <v>High</v>
      </c>
      <c r="N733" t="str">
        <f>TEXT(Table1[[#This Row],[Order_Date]],"MMMM")</f>
        <v>June</v>
      </c>
      <c r="O733">
        <f>YEAR(Table1[[#This Row],[Order_Date]])</f>
        <v>2027</v>
      </c>
    </row>
    <row r="734" spans="1:15" x14ac:dyDescent="0.3">
      <c r="A734" t="s">
        <v>765</v>
      </c>
      <c r="B734" s="1">
        <v>46553</v>
      </c>
      <c r="C734" t="s">
        <v>12</v>
      </c>
      <c r="D734" t="s">
        <v>56</v>
      </c>
      <c r="E734" t="s">
        <v>19</v>
      </c>
      <c r="F734" s="3">
        <v>8</v>
      </c>
      <c r="G734" s="4">
        <v>31596</v>
      </c>
      <c r="H734" s="4">
        <v>252768</v>
      </c>
      <c r="I734" s="4">
        <v>212116.92</v>
      </c>
      <c r="J734" s="4">
        <v>40651.08</v>
      </c>
      <c r="K734" t="s">
        <v>23</v>
      </c>
      <c r="L734" s="3">
        <f>(Table1[[#This Row],[Profit]]/Table1[[#This Row],[Sales_Amount]])*100</f>
        <v>16.082368021268515</v>
      </c>
      <c r="M734" s="4" t="str" cm="1">
        <f t="array" ref="M734">_xlfn.IFS(Table1[[#This Row],[Sales_Amount]]&gt;200000,"High",AND(Table1[[#This Row],[Sales_Amount]]&gt;100000,Table1[[#This Row],[Sales_Amount]]&lt;200000),"Medium",Table1[[#This Row],[Sales_Amount]]&lt;100000,"Low")</f>
        <v>High</v>
      </c>
      <c r="N734" t="str">
        <f>TEXT(Table1[[#This Row],[Order_Date]],"MMMM")</f>
        <v>June</v>
      </c>
      <c r="O734">
        <f>YEAR(Table1[[#This Row],[Order_Date]])</f>
        <v>2027</v>
      </c>
    </row>
    <row r="735" spans="1:15" x14ac:dyDescent="0.3">
      <c r="A735" t="s">
        <v>766</v>
      </c>
      <c r="B735" s="1">
        <v>46554</v>
      </c>
      <c r="C735" t="s">
        <v>28</v>
      </c>
      <c r="D735" t="s">
        <v>18</v>
      </c>
      <c r="E735" t="s">
        <v>37</v>
      </c>
      <c r="F735" s="3">
        <v>9</v>
      </c>
      <c r="G735" s="4">
        <v>22461</v>
      </c>
      <c r="H735" s="4">
        <v>202149</v>
      </c>
      <c r="I735" s="4">
        <v>149335.76</v>
      </c>
      <c r="J735" s="4">
        <v>52813.24</v>
      </c>
      <c r="K735" t="s">
        <v>26</v>
      </c>
      <c r="L735" s="3">
        <f>(Table1[[#This Row],[Profit]]/Table1[[#This Row],[Sales_Amount]])*100</f>
        <v>26.125897234218321</v>
      </c>
      <c r="M735" s="4" t="str" cm="1">
        <f t="array" ref="M735">_xlfn.IFS(Table1[[#This Row],[Sales_Amount]]&gt;200000,"High",AND(Table1[[#This Row],[Sales_Amount]]&gt;100000,Table1[[#This Row],[Sales_Amount]]&lt;200000),"Medium",Table1[[#This Row],[Sales_Amount]]&lt;100000,"Low")</f>
        <v>High</v>
      </c>
      <c r="N735" t="str">
        <f>TEXT(Table1[[#This Row],[Order_Date]],"MMMM")</f>
        <v>June</v>
      </c>
      <c r="O735">
        <f>YEAR(Table1[[#This Row],[Order_Date]])</f>
        <v>2027</v>
      </c>
    </row>
    <row r="736" spans="1:15" x14ac:dyDescent="0.3">
      <c r="A736" t="s">
        <v>767</v>
      </c>
      <c r="B736" s="1">
        <v>46555</v>
      </c>
      <c r="C736" t="s">
        <v>12</v>
      </c>
      <c r="D736" t="s">
        <v>34</v>
      </c>
      <c r="E736" t="s">
        <v>19</v>
      </c>
      <c r="F736" s="3">
        <v>6</v>
      </c>
      <c r="G736" s="4">
        <v>36884</v>
      </c>
      <c r="H736" s="4">
        <v>221304</v>
      </c>
      <c r="I736" s="4">
        <v>168360.48</v>
      </c>
      <c r="J736" s="4">
        <v>52943.519999999997</v>
      </c>
      <c r="K736" t="s">
        <v>26</v>
      </c>
      <c r="L736" s="3">
        <f>(Table1[[#This Row],[Profit]]/Table1[[#This Row],[Sales_Amount]])*100</f>
        <v>23.923435636048147</v>
      </c>
      <c r="M736" s="4" t="str" cm="1">
        <f t="array" ref="M736">_xlfn.IFS(Table1[[#This Row],[Sales_Amount]]&gt;200000,"High",AND(Table1[[#This Row],[Sales_Amount]]&gt;100000,Table1[[#This Row],[Sales_Amount]]&lt;200000),"Medium",Table1[[#This Row],[Sales_Amount]]&lt;100000,"Low")</f>
        <v>High</v>
      </c>
      <c r="N736" t="str">
        <f>TEXT(Table1[[#This Row],[Order_Date]],"MMMM")</f>
        <v>June</v>
      </c>
      <c r="O736">
        <f>YEAR(Table1[[#This Row],[Order_Date]])</f>
        <v>2027</v>
      </c>
    </row>
    <row r="737" spans="1:15" x14ac:dyDescent="0.3">
      <c r="A737" t="s">
        <v>768</v>
      </c>
      <c r="B737" s="1">
        <v>46556</v>
      </c>
      <c r="C737" t="s">
        <v>28</v>
      </c>
      <c r="D737" t="s">
        <v>13</v>
      </c>
      <c r="E737" t="s">
        <v>22</v>
      </c>
      <c r="F737" s="3">
        <v>5</v>
      </c>
      <c r="G737" s="4">
        <v>2542</v>
      </c>
      <c r="H737" s="4">
        <v>12710</v>
      </c>
      <c r="I737" s="4">
        <v>8919.19</v>
      </c>
      <c r="J737" s="4">
        <v>3790.81</v>
      </c>
      <c r="K737" t="s">
        <v>58</v>
      </c>
      <c r="L737" s="3">
        <f>(Table1[[#This Row],[Profit]]/Table1[[#This Row],[Sales_Amount]])*100</f>
        <v>29.825413060582218</v>
      </c>
      <c r="M737" s="4" t="str" cm="1">
        <f t="array" ref="M737">_xlfn.IFS(Table1[[#This Row],[Sales_Amount]]&gt;200000,"High",AND(Table1[[#This Row],[Sales_Amount]]&gt;100000,Table1[[#This Row],[Sales_Amount]]&lt;200000),"Medium",Table1[[#This Row],[Sales_Amount]]&lt;100000,"Low")</f>
        <v>Low</v>
      </c>
      <c r="N737" t="str">
        <f>TEXT(Table1[[#This Row],[Order_Date]],"MMMM")</f>
        <v>June</v>
      </c>
      <c r="O737">
        <f>YEAR(Table1[[#This Row],[Order_Date]])</f>
        <v>2027</v>
      </c>
    </row>
    <row r="738" spans="1:15" x14ac:dyDescent="0.3">
      <c r="A738" t="s">
        <v>769</v>
      </c>
      <c r="B738" s="1">
        <v>46557</v>
      </c>
      <c r="C738" t="s">
        <v>40</v>
      </c>
      <c r="D738" t="s">
        <v>18</v>
      </c>
      <c r="E738" t="s">
        <v>25</v>
      </c>
      <c r="F738" s="3">
        <v>2</v>
      </c>
      <c r="G738" s="4">
        <v>49752</v>
      </c>
      <c r="H738" s="4">
        <v>99504</v>
      </c>
      <c r="I738" s="4">
        <v>68904.97</v>
      </c>
      <c r="J738" s="4">
        <v>30599.03</v>
      </c>
      <c r="K738" t="s">
        <v>26</v>
      </c>
      <c r="L738" s="3">
        <f>(Table1[[#This Row],[Profit]]/Table1[[#This Row],[Sales_Amount]])*100</f>
        <v>30.751557726322559</v>
      </c>
      <c r="M738" s="4" t="str" cm="1">
        <f t="array" ref="M738">_xlfn.IFS(Table1[[#This Row],[Sales_Amount]]&gt;200000,"High",AND(Table1[[#This Row],[Sales_Amount]]&gt;100000,Table1[[#This Row],[Sales_Amount]]&lt;200000),"Medium",Table1[[#This Row],[Sales_Amount]]&lt;100000,"Low")</f>
        <v>Low</v>
      </c>
      <c r="N738" t="str">
        <f>TEXT(Table1[[#This Row],[Order_Date]],"MMMM")</f>
        <v>June</v>
      </c>
      <c r="O738">
        <f>YEAR(Table1[[#This Row],[Order_Date]])</f>
        <v>2027</v>
      </c>
    </row>
    <row r="739" spans="1:15" x14ac:dyDescent="0.3">
      <c r="A739" t="s">
        <v>770</v>
      </c>
      <c r="B739" s="1">
        <v>46558</v>
      </c>
      <c r="C739" t="s">
        <v>40</v>
      </c>
      <c r="D739" t="s">
        <v>51</v>
      </c>
      <c r="E739" t="s">
        <v>14</v>
      </c>
      <c r="F739" s="3">
        <v>8</v>
      </c>
      <c r="G739" s="4">
        <v>16074</v>
      </c>
      <c r="H739" s="4">
        <v>128592</v>
      </c>
      <c r="I739" s="4">
        <v>91490</v>
      </c>
      <c r="J739" s="4">
        <v>37102</v>
      </c>
      <c r="K739" t="s">
        <v>26</v>
      </c>
      <c r="L739" s="3">
        <f>(Table1[[#This Row],[Profit]]/Table1[[#This Row],[Sales_Amount]])*100</f>
        <v>28.852494711957199</v>
      </c>
      <c r="M739" s="4" t="str" cm="1">
        <f t="array" ref="M739">_xlfn.IFS(Table1[[#This Row],[Sales_Amount]]&gt;200000,"High",AND(Table1[[#This Row],[Sales_Amount]]&gt;100000,Table1[[#This Row],[Sales_Amount]]&lt;200000),"Medium",Table1[[#This Row],[Sales_Amount]]&lt;100000,"Low")</f>
        <v>Medium</v>
      </c>
      <c r="N739" t="str">
        <f>TEXT(Table1[[#This Row],[Order_Date]],"MMMM")</f>
        <v>June</v>
      </c>
      <c r="O739">
        <f>YEAR(Table1[[#This Row],[Order_Date]])</f>
        <v>2027</v>
      </c>
    </row>
    <row r="740" spans="1:15" x14ac:dyDescent="0.3">
      <c r="A740" t="s">
        <v>771</v>
      </c>
      <c r="B740" s="1">
        <v>46559</v>
      </c>
      <c r="C740" t="s">
        <v>17</v>
      </c>
      <c r="D740" t="s">
        <v>56</v>
      </c>
      <c r="E740" t="s">
        <v>14</v>
      </c>
      <c r="F740" s="3">
        <v>6</v>
      </c>
      <c r="G740" s="4">
        <v>2950</v>
      </c>
      <c r="H740" s="4">
        <v>17700</v>
      </c>
      <c r="I740" s="4">
        <v>14750.07</v>
      </c>
      <c r="J740" s="4">
        <v>2949.93</v>
      </c>
      <c r="K740" t="s">
        <v>15</v>
      </c>
      <c r="L740" s="3">
        <f>(Table1[[#This Row],[Profit]]/Table1[[#This Row],[Sales_Amount]])*100</f>
        <v>16.666271186440675</v>
      </c>
      <c r="M740" s="4" t="str" cm="1">
        <f t="array" ref="M740">_xlfn.IFS(Table1[[#This Row],[Sales_Amount]]&gt;200000,"High",AND(Table1[[#This Row],[Sales_Amount]]&gt;100000,Table1[[#This Row],[Sales_Amount]]&lt;200000),"Medium",Table1[[#This Row],[Sales_Amount]]&lt;100000,"Low")</f>
        <v>Low</v>
      </c>
      <c r="N740" t="str">
        <f>TEXT(Table1[[#This Row],[Order_Date]],"MMMM")</f>
        <v>June</v>
      </c>
      <c r="O740">
        <f>YEAR(Table1[[#This Row],[Order_Date]])</f>
        <v>2027</v>
      </c>
    </row>
    <row r="741" spans="1:15" x14ac:dyDescent="0.3">
      <c r="A741" t="s">
        <v>772</v>
      </c>
      <c r="B741" s="1">
        <v>46560</v>
      </c>
      <c r="C741" t="s">
        <v>28</v>
      </c>
      <c r="D741" t="s">
        <v>44</v>
      </c>
      <c r="E741" t="s">
        <v>25</v>
      </c>
      <c r="F741" s="3">
        <v>3</v>
      </c>
      <c r="G741" s="4">
        <v>12965</v>
      </c>
      <c r="H741" s="4">
        <v>38895</v>
      </c>
      <c r="I741" s="4">
        <v>27305.64</v>
      </c>
      <c r="J741" s="4">
        <v>11589.36</v>
      </c>
      <c r="K741" t="s">
        <v>26</v>
      </c>
      <c r="L741" s="3">
        <f>(Table1[[#This Row],[Profit]]/Table1[[#This Row],[Sales_Amount]])*100</f>
        <v>29.796529116853065</v>
      </c>
      <c r="M741" s="4" t="str" cm="1">
        <f t="array" ref="M741">_xlfn.IFS(Table1[[#This Row],[Sales_Amount]]&gt;200000,"High",AND(Table1[[#This Row],[Sales_Amount]]&gt;100000,Table1[[#This Row],[Sales_Amount]]&lt;200000),"Medium",Table1[[#This Row],[Sales_Amount]]&lt;100000,"Low")</f>
        <v>Low</v>
      </c>
      <c r="N741" t="str">
        <f>TEXT(Table1[[#This Row],[Order_Date]],"MMMM")</f>
        <v>June</v>
      </c>
      <c r="O741">
        <f>YEAR(Table1[[#This Row],[Order_Date]])</f>
        <v>2027</v>
      </c>
    </row>
    <row r="742" spans="1:15" x14ac:dyDescent="0.3">
      <c r="A742" t="s">
        <v>773</v>
      </c>
      <c r="B742" s="1">
        <v>46561</v>
      </c>
      <c r="C742" t="s">
        <v>12</v>
      </c>
      <c r="D742" t="s">
        <v>18</v>
      </c>
      <c r="E742" t="s">
        <v>14</v>
      </c>
      <c r="F742" s="3">
        <v>9</v>
      </c>
      <c r="G742" s="4">
        <v>44849</v>
      </c>
      <c r="H742" s="4">
        <v>403641</v>
      </c>
      <c r="I742" s="4">
        <v>362395.39</v>
      </c>
      <c r="J742" s="4">
        <v>41245.61</v>
      </c>
      <c r="K742" t="s">
        <v>58</v>
      </c>
      <c r="L742" s="3">
        <f>(Table1[[#This Row],[Profit]]/Table1[[#This Row],[Sales_Amount]])*100</f>
        <v>10.218389608587831</v>
      </c>
      <c r="M742" s="4" t="str" cm="1">
        <f t="array" ref="M742">_xlfn.IFS(Table1[[#This Row],[Sales_Amount]]&gt;200000,"High",AND(Table1[[#This Row],[Sales_Amount]]&gt;100000,Table1[[#This Row],[Sales_Amount]]&lt;200000),"Medium",Table1[[#This Row],[Sales_Amount]]&lt;100000,"Low")</f>
        <v>High</v>
      </c>
      <c r="N742" t="str">
        <f>TEXT(Table1[[#This Row],[Order_Date]],"MMMM")</f>
        <v>June</v>
      </c>
      <c r="O742">
        <f>YEAR(Table1[[#This Row],[Order_Date]])</f>
        <v>2027</v>
      </c>
    </row>
    <row r="743" spans="1:15" x14ac:dyDescent="0.3">
      <c r="A743" t="s">
        <v>774</v>
      </c>
      <c r="B743" s="1">
        <v>46562</v>
      </c>
      <c r="C743" t="s">
        <v>17</v>
      </c>
      <c r="D743" t="s">
        <v>29</v>
      </c>
      <c r="E743" t="s">
        <v>19</v>
      </c>
      <c r="F743" s="3">
        <v>9</v>
      </c>
      <c r="G743" s="4">
        <v>8091</v>
      </c>
      <c r="H743" s="4">
        <v>72819</v>
      </c>
      <c r="I743" s="4">
        <v>43781.18</v>
      </c>
      <c r="J743" s="4">
        <v>29037.82</v>
      </c>
      <c r="K743" t="s">
        <v>26</v>
      </c>
      <c r="L743" s="3">
        <f>(Table1[[#This Row],[Profit]]/Table1[[#This Row],[Sales_Amount]])*100</f>
        <v>39.876708002032437</v>
      </c>
      <c r="M743" s="4" t="str" cm="1">
        <f t="array" ref="M743">_xlfn.IFS(Table1[[#This Row],[Sales_Amount]]&gt;200000,"High",AND(Table1[[#This Row],[Sales_Amount]]&gt;100000,Table1[[#This Row],[Sales_Amount]]&lt;200000),"Medium",Table1[[#This Row],[Sales_Amount]]&lt;100000,"Low")</f>
        <v>Low</v>
      </c>
      <c r="N743" t="str">
        <f>TEXT(Table1[[#This Row],[Order_Date]],"MMMM")</f>
        <v>June</v>
      </c>
      <c r="O743">
        <f>YEAR(Table1[[#This Row],[Order_Date]])</f>
        <v>2027</v>
      </c>
    </row>
    <row r="744" spans="1:15" x14ac:dyDescent="0.3">
      <c r="A744" t="s">
        <v>775</v>
      </c>
      <c r="B744" s="1">
        <v>46563</v>
      </c>
      <c r="C744" t="s">
        <v>40</v>
      </c>
      <c r="D744" t="s">
        <v>18</v>
      </c>
      <c r="E744" t="s">
        <v>14</v>
      </c>
      <c r="F744" s="3">
        <v>2</v>
      </c>
      <c r="G744" s="4">
        <v>34616</v>
      </c>
      <c r="H744" s="4">
        <v>69232</v>
      </c>
      <c r="I744" s="4">
        <v>57452.46</v>
      </c>
      <c r="J744" s="4">
        <v>11779.54</v>
      </c>
      <c r="K744" t="s">
        <v>26</v>
      </c>
      <c r="L744" s="3">
        <f>(Table1[[#This Row],[Profit]]/Table1[[#This Row],[Sales_Amount]])*100</f>
        <v>17.014588629535478</v>
      </c>
      <c r="M744" s="4" t="str" cm="1">
        <f t="array" ref="M744">_xlfn.IFS(Table1[[#This Row],[Sales_Amount]]&gt;200000,"High",AND(Table1[[#This Row],[Sales_Amount]]&gt;100000,Table1[[#This Row],[Sales_Amount]]&lt;200000),"Medium",Table1[[#This Row],[Sales_Amount]]&lt;100000,"Low")</f>
        <v>Low</v>
      </c>
      <c r="N744" t="str">
        <f>TEXT(Table1[[#This Row],[Order_Date]],"MMMM")</f>
        <v>June</v>
      </c>
      <c r="O744">
        <f>YEAR(Table1[[#This Row],[Order_Date]])</f>
        <v>2027</v>
      </c>
    </row>
    <row r="745" spans="1:15" x14ac:dyDescent="0.3">
      <c r="A745" t="s">
        <v>776</v>
      </c>
      <c r="B745" s="1">
        <v>46564</v>
      </c>
      <c r="C745" t="s">
        <v>40</v>
      </c>
      <c r="D745" t="s">
        <v>34</v>
      </c>
      <c r="E745" t="s">
        <v>22</v>
      </c>
      <c r="F745" s="3">
        <v>6</v>
      </c>
      <c r="G745" s="4">
        <v>13643</v>
      </c>
      <c r="H745" s="4">
        <v>81858</v>
      </c>
      <c r="I745" s="4">
        <v>53843.22</v>
      </c>
      <c r="J745" s="4">
        <v>28014.78</v>
      </c>
      <c r="K745" t="s">
        <v>58</v>
      </c>
      <c r="L745" s="3">
        <f>(Table1[[#This Row],[Profit]]/Table1[[#This Row],[Sales_Amount]])*100</f>
        <v>34.223631166165795</v>
      </c>
      <c r="M745" s="4" t="str" cm="1">
        <f t="array" ref="M745">_xlfn.IFS(Table1[[#This Row],[Sales_Amount]]&gt;200000,"High",AND(Table1[[#This Row],[Sales_Amount]]&gt;100000,Table1[[#This Row],[Sales_Amount]]&lt;200000),"Medium",Table1[[#This Row],[Sales_Amount]]&lt;100000,"Low")</f>
        <v>Low</v>
      </c>
      <c r="N745" t="str">
        <f>TEXT(Table1[[#This Row],[Order_Date]],"MMMM")</f>
        <v>June</v>
      </c>
      <c r="O745">
        <f>YEAR(Table1[[#This Row],[Order_Date]])</f>
        <v>2027</v>
      </c>
    </row>
    <row r="746" spans="1:15" x14ac:dyDescent="0.3">
      <c r="A746" t="s">
        <v>777</v>
      </c>
      <c r="B746" s="1">
        <v>46565</v>
      </c>
      <c r="C746" t="s">
        <v>17</v>
      </c>
      <c r="D746" t="s">
        <v>18</v>
      </c>
      <c r="E746" t="s">
        <v>14</v>
      </c>
      <c r="F746" s="3">
        <v>5</v>
      </c>
      <c r="G746" s="4">
        <v>10285</v>
      </c>
      <c r="H746" s="4">
        <v>51425</v>
      </c>
      <c r="I746" s="4">
        <v>33284.769999999997</v>
      </c>
      <c r="J746" s="4">
        <v>18140.23</v>
      </c>
      <c r="K746" t="s">
        <v>15</v>
      </c>
      <c r="L746" s="3">
        <f>(Table1[[#This Row],[Profit]]/Table1[[#This Row],[Sales_Amount]])*100</f>
        <v>35.275119105493438</v>
      </c>
      <c r="M746" s="4" t="str" cm="1">
        <f t="array" ref="M746">_xlfn.IFS(Table1[[#This Row],[Sales_Amount]]&gt;200000,"High",AND(Table1[[#This Row],[Sales_Amount]]&gt;100000,Table1[[#This Row],[Sales_Amount]]&lt;200000),"Medium",Table1[[#This Row],[Sales_Amount]]&lt;100000,"Low")</f>
        <v>Low</v>
      </c>
      <c r="N746" t="str">
        <f>TEXT(Table1[[#This Row],[Order_Date]],"MMMM")</f>
        <v>June</v>
      </c>
      <c r="O746">
        <f>YEAR(Table1[[#This Row],[Order_Date]])</f>
        <v>2027</v>
      </c>
    </row>
    <row r="747" spans="1:15" x14ac:dyDescent="0.3">
      <c r="A747" t="s">
        <v>778</v>
      </c>
      <c r="B747" s="1">
        <v>46566</v>
      </c>
      <c r="C747" t="s">
        <v>12</v>
      </c>
      <c r="D747" t="s">
        <v>44</v>
      </c>
      <c r="E747" t="s">
        <v>25</v>
      </c>
      <c r="F747" s="3">
        <v>6</v>
      </c>
      <c r="G747" s="4">
        <v>36503</v>
      </c>
      <c r="H747" s="4">
        <v>219018</v>
      </c>
      <c r="I747" s="4">
        <v>152336.98000000001</v>
      </c>
      <c r="J747" s="4">
        <v>66681.02</v>
      </c>
      <c r="K747" t="s">
        <v>23</v>
      </c>
      <c r="L747" s="3">
        <f>(Table1[[#This Row],[Profit]]/Table1[[#This Row],[Sales_Amount]])*100</f>
        <v>30.445451971984038</v>
      </c>
      <c r="M747" s="4" t="str" cm="1">
        <f t="array" ref="M747">_xlfn.IFS(Table1[[#This Row],[Sales_Amount]]&gt;200000,"High",AND(Table1[[#This Row],[Sales_Amount]]&gt;100000,Table1[[#This Row],[Sales_Amount]]&lt;200000),"Medium",Table1[[#This Row],[Sales_Amount]]&lt;100000,"Low")</f>
        <v>High</v>
      </c>
      <c r="N747" t="str">
        <f>TEXT(Table1[[#This Row],[Order_Date]],"MMMM")</f>
        <v>June</v>
      </c>
      <c r="O747">
        <f>YEAR(Table1[[#This Row],[Order_Date]])</f>
        <v>2027</v>
      </c>
    </row>
    <row r="748" spans="1:15" x14ac:dyDescent="0.3">
      <c r="A748" t="s">
        <v>779</v>
      </c>
      <c r="B748" s="1">
        <v>46567</v>
      </c>
      <c r="C748" t="s">
        <v>28</v>
      </c>
      <c r="D748" t="s">
        <v>18</v>
      </c>
      <c r="E748" t="s">
        <v>14</v>
      </c>
      <c r="F748" s="3">
        <v>5</v>
      </c>
      <c r="G748" s="4">
        <v>40690</v>
      </c>
      <c r="H748" s="4">
        <v>203450</v>
      </c>
      <c r="I748" s="4">
        <v>176528.06</v>
      </c>
      <c r="J748" s="4">
        <v>26921.94</v>
      </c>
      <c r="K748" t="s">
        <v>23</v>
      </c>
      <c r="L748" s="3">
        <f>(Table1[[#This Row],[Profit]]/Table1[[#This Row],[Sales_Amount]])*100</f>
        <v>13.23270582452691</v>
      </c>
      <c r="M748" s="4" t="str" cm="1">
        <f t="array" ref="M748">_xlfn.IFS(Table1[[#This Row],[Sales_Amount]]&gt;200000,"High",AND(Table1[[#This Row],[Sales_Amount]]&gt;100000,Table1[[#This Row],[Sales_Amount]]&lt;200000),"Medium",Table1[[#This Row],[Sales_Amount]]&lt;100000,"Low")</f>
        <v>High</v>
      </c>
      <c r="N748" t="str">
        <f>TEXT(Table1[[#This Row],[Order_Date]],"MMMM")</f>
        <v>June</v>
      </c>
      <c r="O748">
        <f>YEAR(Table1[[#This Row],[Order_Date]])</f>
        <v>2027</v>
      </c>
    </row>
    <row r="749" spans="1:15" x14ac:dyDescent="0.3">
      <c r="A749" t="s">
        <v>780</v>
      </c>
      <c r="B749" s="1">
        <v>46568</v>
      </c>
      <c r="C749" t="s">
        <v>17</v>
      </c>
      <c r="D749" t="s">
        <v>21</v>
      </c>
      <c r="E749" t="s">
        <v>37</v>
      </c>
      <c r="F749" s="3">
        <v>1</v>
      </c>
      <c r="G749" s="4">
        <v>7442</v>
      </c>
      <c r="H749" s="4">
        <v>7442</v>
      </c>
      <c r="I749" s="4">
        <v>5321.62</v>
      </c>
      <c r="J749" s="4">
        <v>2120.38</v>
      </c>
      <c r="K749" t="s">
        <v>58</v>
      </c>
      <c r="L749" s="3">
        <f>(Table1[[#This Row],[Profit]]/Table1[[#This Row],[Sales_Amount]])*100</f>
        <v>28.492072023649555</v>
      </c>
      <c r="M749" s="4" t="str" cm="1">
        <f t="array" ref="M749">_xlfn.IFS(Table1[[#This Row],[Sales_Amount]]&gt;200000,"High",AND(Table1[[#This Row],[Sales_Amount]]&gt;100000,Table1[[#This Row],[Sales_Amount]]&lt;200000),"Medium",Table1[[#This Row],[Sales_Amount]]&lt;100000,"Low")</f>
        <v>Low</v>
      </c>
      <c r="N749" t="str">
        <f>TEXT(Table1[[#This Row],[Order_Date]],"MMMM")</f>
        <v>June</v>
      </c>
      <c r="O749">
        <f>YEAR(Table1[[#This Row],[Order_Date]])</f>
        <v>2027</v>
      </c>
    </row>
    <row r="750" spans="1:15" x14ac:dyDescent="0.3">
      <c r="A750" t="s">
        <v>781</v>
      </c>
      <c r="B750" s="1">
        <v>46569</v>
      </c>
      <c r="C750" t="s">
        <v>28</v>
      </c>
      <c r="D750" t="s">
        <v>34</v>
      </c>
      <c r="E750" t="s">
        <v>19</v>
      </c>
      <c r="F750" s="3">
        <v>10</v>
      </c>
      <c r="G750" s="4">
        <v>39346</v>
      </c>
      <c r="H750" s="4">
        <v>393460</v>
      </c>
      <c r="I750" s="4">
        <v>310377.46000000002</v>
      </c>
      <c r="J750" s="4">
        <v>83082.539999999994</v>
      </c>
      <c r="K750" t="s">
        <v>26</v>
      </c>
      <c r="L750" s="3">
        <f>(Table1[[#This Row],[Profit]]/Table1[[#This Row],[Sales_Amount]])*100</f>
        <v>21.115879631982921</v>
      </c>
      <c r="M750" s="4" t="str" cm="1">
        <f t="array" ref="M750">_xlfn.IFS(Table1[[#This Row],[Sales_Amount]]&gt;200000,"High",AND(Table1[[#This Row],[Sales_Amount]]&gt;100000,Table1[[#This Row],[Sales_Amount]]&lt;200000),"Medium",Table1[[#This Row],[Sales_Amount]]&lt;100000,"Low")</f>
        <v>High</v>
      </c>
      <c r="N750" t="str">
        <f>TEXT(Table1[[#This Row],[Order_Date]],"MMMM")</f>
        <v>July</v>
      </c>
      <c r="O750">
        <f>YEAR(Table1[[#This Row],[Order_Date]])</f>
        <v>2027</v>
      </c>
    </row>
    <row r="751" spans="1:15" x14ac:dyDescent="0.3">
      <c r="A751" t="s">
        <v>782</v>
      </c>
      <c r="B751" s="1">
        <v>46570</v>
      </c>
      <c r="C751" t="s">
        <v>28</v>
      </c>
      <c r="D751" t="s">
        <v>13</v>
      </c>
      <c r="E751" t="s">
        <v>22</v>
      </c>
      <c r="F751" s="3">
        <v>9</v>
      </c>
      <c r="G751" s="4">
        <v>5647</v>
      </c>
      <c r="H751" s="4">
        <v>50823</v>
      </c>
      <c r="I751" s="4">
        <v>45339.43</v>
      </c>
      <c r="J751" s="4">
        <v>5483.57</v>
      </c>
      <c r="K751" t="s">
        <v>15</v>
      </c>
      <c r="L751" s="3">
        <f>(Table1[[#This Row],[Profit]]/Table1[[#This Row],[Sales_Amount]])*100</f>
        <v>10.78954410404738</v>
      </c>
      <c r="M751" s="4" t="str" cm="1">
        <f t="array" ref="M751">_xlfn.IFS(Table1[[#This Row],[Sales_Amount]]&gt;200000,"High",AND(Table1[[#This Row],[Sales_Amount]]&gt;100000,Table1[[#This Row],[Sales_Amount]]&lt;200000),"Medium",Table1[[#This Row],[Sales_Amount]]&lt;100000,"Low")</f>
        <v>Low</v>
      </c>
      <c r="N751" t="str">
        <f>TEXT(Table1[[#This Row],[Order_Date]],"MMMM")</f>
        <v>July</v>
      </c>
      <c r="O751">
        <f>YEAR(Table1[[#This Row],[Order_Date]])</f>
        <v>2027</v>
      </c>
    </row>
    <row r="752" spans="1:15" x14ac:dyDescent="0.3">
      <c r="A752" t="s">
        <v>783</v>
      </c>
      <c r="B752" s="1">
        <v>46571</v>
      </c>
      <c r="C752" t="s">
        <v>28</v>
      </c>
      <c r="D752" t="s">
        <v>56</v>
      </c>
      <c r="E752" t="s">
        <v>37</v>
      </c>
      <c r="F752" s="3">
        <v>2</v>
      </c>
      <c r="G752" s="4">
        <v>30357</v>
      </c>
      <c r="H752" s="4">
        <v>60714</v>
      </c>
      <c r="I752" s="4">
        <v>42081.94</v>
      </c>
      <c r="J752" s="4">
        <v>18632.060000000001</v>
      </c>
      <c r="K752" t="s">
        <v>23</v>
      </c>
      <c r="L752" s="3">
        <f>(Table1[[#This Row],[Profit]]/Table1[[#This Row],[Sales_Amount]])*100</f>
        <v>30.688243238791713</v>
      </c>
      <c r="M752" s="4" t="str" cm="1">
        <f t="array" ref="M752">_xlfn.IFS(Table1[[#This Row],[Sales_Amount]]&gt;200000,"High",AND(Table1[[#This Row],[Sales_Amount]]&gt;100000,Table1[[#This Row],[Sales_Amount]]&lt;200000),"Medium",Table1[[#This Row],[Sales_Amount]]&lt;100000,"Low")</f>
        <v>Low</v>
      </c>
      <c r="N752" t="str">
        <f>TEXT(Table1[[#This Row],[Order_Date]],"MMMM")</f>
        <v>July</v>
      </c>
      <c r="O752">
        <f>YEAR(Table1[[#This Row],[Order_Date]])</f>
        <v>2027</v>
      </c>
    </row>
    <row r="753" spans="1:15" x14ac:dyDescent="0.3">
      <c r="A753" t="s">
        <v>784</v>
      </c>
      <c r="B753" s="1">
        <v>46572</v>
      </c>
      <c r="C753" t="s">
        <v>28</v>
      </c>
      <c r="D753" t="s">
        <v>13</v>
      </c>
      <c r="E753" t="s">
        <v>22</v>
      </c>
      <c r="F753" s="3">
        <v>10</v>
      </c>
      <c r="G753" s="4">
        <v>17411</v>
      </c>
      <c r="H753" s="4">
        <v>174110</v>
      </c>
      <c r="I753" s="4">
        <v>152147.5</v>
      </c>
      <c r="J753" s="4">
        <v>21962.5</v>
      </c>
      <c r="K753" t="s">
        <v>26</v>
      </c>
      <c r="L753" s="3">
        <f>(Table1[[#This Row],[Profit]]/Table1[[#This Row],[Sales_Amount]])*100</f>
        <v>12.614151972890703</v>
      </c>
      <c r="M753" s="4" t="str" cm="1">
        <f t="array" ref="M753">_xlfn.IFS(Table1[[#This Row],[Sales_Amount]]&gt;200000,"High",AND(Table1[[#This Row],[Sales_Amount]]&gt;100000,Table1[[#This Row],[Sales_Amount]]&lt;200000),"Medium",Table1[[#This Row],[Sales_Amount]]&lt;100000,"Low")</f>
        <v>Medium</v>
      </c>
      <c r="N753" t="str">
        <f>TEXT(Table1[[#This Row],[Order_Date]],"MMMM")</f>
        <v>July</v>
      </c>
      <c r="O753">
        <f>YEAR(Table1[[#This Row],[Order_Date]])</f>
        <v>2027</v>
      </c>
    </row>
    <row r="754" spans="1:15" x14ac:dyDescent="0.3">
      <c r="A754" t="s">
        <v>785</v>
      </c>
      <c r="B754" s="1">
        <v>46573</v>
      </c>
      <c r="C754" t="s">
        <v>17</v>
      </c>
      <c r="D754" t="s">
        <v>34</v>
      </c>
      <c r="E754" t="s">
        <v>37</v>
      </c>
      <c r="F754" s="3">
        <v>8</v>
      </c>
      <c r="G754" s="4">
        <v>2483</v>
      </c>
      <c r="H754" s="4">
        <v>19864</v>
      </c>
      <c r="I754" s="4">
        <v>12307.92</v>
      </c>
      <c r="J754" s="4">
        <v>7556.08</v>
      </c>
      <c r="K754" t="s">
        <v>58</v>
      </c>
      <c r="L754" s="3">
        <f>(Table1[[#This Row],[Profit]]/Table1[[#This Row],[Sales_Amount]])*100</f>
        <v>38.039065646395485</v>
      </c>
      <c r="M754" s="4" t="str" cm="1">
        <f t="array" ref="M754">_xlfn.IFS(Table1[[#This Row],[Sales_Amount]]&gt;200000,"High",AND(Table1[[#This Row],[Sales_Amount]]&gt;100000,Table1[[#This Row],[Sales_Amount]]&lt;200000),"Medium",Table1[[#This Row],[Sales_Amount]]&lt;100000,"Low")</f>
        <v>Low</v>
      </c>
      <c r="N754" t="str">
        <f>TEXT(Table1[[#This Row],[Order_Date]],"MMMM")</f>
        <v>July</v>
      </c>
      <c r="O754">
        <f>YEAR(Table1[[#This Row],[Order_Date]])</f>
        <v>2027</v>
      </c>
    </row>
    <row r="755" spans="1:15" x14ac:dyDescent="0.3">
      <c r="A755" t="s">
        <v>786</v>
      </c>
      <c r="B755" s="1">
        <v>46574</v>
      </c>
      <c r="C755" t="s">
        <v>12</v>
      </c>
      <c r="D755" t="s">
        <v>29</v>
      </c>
      <c r="E755" t="s">
        <v>22</v>
      </c>
      <c r="F755" s="3">
        <v>5</v>
      </c>
      <c r="G755" s="4">
        <v>23346</v>
      </c>
      <c r="H755" s="4">
        <v>116730</v>
      </c>
      <c r="I755" s="4">
        <v>91204.89</v>
      </c>
      <c r="J755" s="4">
        <v>25525.11</v>
      </c>
      <c r="K755" t="s">
        <v>58</v>
      </c>
      <c r="L755" s="3">
        <f>(Table1[[#This Row],[Profit]]/Table1[[#This Row],[Sales_Amount]])*100</f>
        <v>21.866795168337188</v>
      </c>
      <c r="M755" s="4" t="str" cm="1">
        <f t="array" ref="M755">_xlfn.IFS(Table1[[#This Row],[Sales_Amount]]&gt;200000,"High",AND(Table1[[#This Row],[Sales_Amount]]&gt;100000,Table1[[#This Row],[Sales_Amount]]&lt;200000),"Medium",Table1[[#This Row],[Sales_Amount]]&lt;100000,"Low")</f>
        <v>Medium</v>
      </c>
      <c r="N755" t="str">
        <f>TEXT(Table1[[#This Row],[Order_Date]],"MMMM")</f>
        <v>July</v>
      </c>
      <c r="O755">
        <f>YEAR(Table1[[#This Row],[Order_Date]])</f>
        <v>2027</v>
      </c>
    </row>
    <row r="756" spans="1:15" x14ac:dyDescent="0.3">
      <c r="A756" t="s">
        <v>787</v>
      </c>
      <c r="B756" s="1">
        <v>46575</v>
      </c>
      <c r="C756" t="s">
        <v>40</v>
      </c>
      <c r="D756" t="s">
        <v>56</v>
      </c>
      <c r="E756" t="s">
        <v>32</v>
      </c>
      <c r="F756" s="3">
        <v>9</v>
      </c>
      <c r="G756" s="4">
        <v>43062</v>
      </c>
      <c r="H756" s="4">
        <v>387558</v>
      </c>
      <c r="I756" s="4">
        <v>240780.95</v>
      </c>
      <c r="J756" s="4">
        <v>146777.04999999999</v>
      </c>
      <c r="K756" t="s">
        <v>58</v>
      </c>
      <c r="L756" s="3">
        <f>(Table1[[#This Row],[Profit]]/Table1[[#This Row],[Sales_Amount]])*100</f>
        <v>37.872279761996914</v>
      </c>
      <c r="M756" s="4" t="str" cm="1">
        <f t="array" ref="M756">_xlfn.IFS(Table1[[#This Row],[Sales_Amount]]&gt;200000,"High",AND(Table1[[#This Row],[Sales_Amount]]&gt;100000,Table1[[#This Row],[Sales_Amount]]&lt;200000),"Medium",Table1[[#This Row],[Sales_Amount]]&lt;100000,"Low")</f>
        <v>High</v>
      </c>
      <c r="N756" t="str">
        <f>TEXT(Table1[[#This Row],[Order_Date]],"MMMM")</f>
        <v>July</v>
      </c>
      <c r="O756">
        <f>YEAR(Table1[[#This Row],[Order_Date]])</f>
        <v>2027</v>
      </c>
    </row>
    <row r="757" spans="1:15" x14ac:dyDescent="0.3">
      <c r="A757" t="s">
        <v>788</v>
      </c>
      <c r="B757" s="1">
        <v>46576</v>
      </c>
      <c r="C757" t="s">
        <v>12</v>
      </c>
      <c r="D757" t="s">
        <v>56</v>
      </c>
      <c r="E757" t="s">
        <v>37</v>
      </c>
      <c r="F757" s="3">
        <v>4</v>
      </c>
      <c r="G757" s="4">
        <v>41189</v>
      </c>
      <c r="H757" s="4">
        <v>164756</v>
      </c>
      <c r="I757" s="4">
        <v>110898.47</v>
      </c>
      <c r="J757" s="4">
        <v>53857.53</v>
      </c>
      <c r="K757" t="s">
        <v>58</v>
      </c>
      <c r="L757" s="3">
        <f>(Table1[[#This Row],[Profit]]/Table1[[#This Row],[Sales_Amount]])*100</f>
        <v>32.689267765665591</v>
      </c>
      <c r="M757" s="4" t="str" cm="1">
        <f t="array" ref="M757">_xlfn.IFS(Table1[[#This Row],[Sales_Amount]]&gt;200000,"High",AND(Table1[[#This Row],[Sales_Amount]]&gt;100000,Table1[[#This Row],[Sales_Amount]]&lt;200000),"Medium",Table1[[#This Row],[Sales_Amount]]&lt;100000,"Low")</f>
        <v>Medium</v>
      </c>
      <c r="N757" t="str">
        <f>TEXT(Table1[[#This Row],[Order_Date]],"MMMM")</f>
        <v>July</v>
      </c>
      <c r="O757">
        <f>YEAR(Table1[[#This Row],[Order_Date]])</f>
        <v>2027</v>
      </c>
    </row>
    <row r="758" spans="1:15" x14ac:dyDescent="0.3">
      <c r="A758" t="s">
        <v>789</v>
      </c>
      <c r="B758" s="1">
        <v>46577</v>
      </c>
      <c r="C758" t="s">
        <v>28</v>
      </c>
      <c r="D758" t="s">
        <v>34</v>
      </c>
      <c r="E758" t="s">
        <v>32</v>
      </c>
      <c r="F758" s="3">
        <v>4</v>
      </c>
      <c r="G758" s="4">
        <v>45985</v>
      </c>
      <c r="H758" s="4">
        <v>183940</v>
      </c>
      <c r="I758" s="4">
        <v>142974.92000000001</v>
      </c>
      <c r="J758" s="4">
        <v>40965.08</v>
      </c>
      <c r="K758" t="s">
        <v>23</v>
      </c>
      <c r="L758" s="3">
        <f>(Table1[[#This Row],[Profit]]/Table1[[#This Row],[Sales_Amount]])*100</f>
        <v>22.270892682396433</v>
      </c>
      <c r="M758" s="4" t="str" cm="1">
        <f t="array" ref="M758">_xlfn.IFS(Table1[[#This Row],[Sales_Amount]]&gt;200000,"High",AND(Table1[[#This Row],[Sales_Amount]]&gt;100000,Table1[[#This Row],[Sales_Amount]]&lt;200000),"Medium",Table1[[#This Row],[Sales_Amount]]&lt;100000,"Low")</f>
        <v>Medium</v>
      </c>
      <c r="N758" t="str">
        <f>TEXT(Table1[[#This Row],[Order_Date]],"MMMM")</f>
        <v>July</v>
      </c>
      <c r="O758">
        <f>YEAR(Table1[[#This Row],[Order_Date]])</f>
        <v>2027</v>
      </c>
    </row>
    <row r="759" spans="1:15" x14ac:dyDescent="0.3">
      <c r="A759" t="s">
        <v>790</v>
      </c>
      <c r="B759" s="1">
        <v>46578</v>
      </c>
      <c r="C759" t="s">
        <v>28</v>
      </c>
      <c r="D759" t="s">
        <v>29</v>
      </c>
      <c r="E759" t="s">
        <v>19</v>
      </c>
      <c r="F759" s="3">
        <v>2</v>
      </c>
      <c r="G759" s="4">
        <v>48955</v>
      </c>
      <c r="H759" s="4">
        <v>97910</v>
      </c>
      <c r="I759" s="4">
        <v>86088.25</v>
      </c>
      <c r="J759" s="4">
        <v>11821.75</v>
      </c>
      <c r="K759" t="s">
        <v>58</v>
      </c>
      <c r="L759" s="3">
        <f>(Table1[[#This Row],[Profit]]/Table1[[#This Row],[Sales_Amount]])*100</f>
        <v>12.074098662036564</v>
      </c>
      <c r="M759" s="4" t="str" cm="1">
        <f t="array" ref="M759">_xlfn.IFS(Table1[[#This Row],[Sales_Amount]]&gt;200000,"High",AND(Table1[[#This Row],[Sales_Amount]]&gt;100000,Table1[[#This Row],[Sales_Amount]]&lt;200000),"Medium",Table1[[#This Row],[Sales_Amount]]&lt;100000,"Low")</f>
        <v>Low</v>
      </c>
      <c r="N759" t="str">
        <f>TEXT(Table1[[#This Row],[Order_Date]],"MMMM")</f>
        <v>July</v>
      </c>
      <c r="O759">
        <f>YEAR(Table1[[#This Row],[Order_Date]])</f>
        <v>2027</v>
      </c>
    </row>
    <row r="760" spans="1:15" x14ac:dyDescent="0.3">
      <c r="A760" t="s">
        <v>791</v>
      </c>
      <c r="B760" s="1">
        <v>46579</v>
      </c>
      <c r="C760" t="s">
        <v>28</v>
      </c>
      <c r="D760" t="s">
        <v>29</v>
      </c>
      <c r="E760" t="s">
        <v>25</v>
      </c>
      <c r="F760" s="3">
        <v>2</v>
      </c>
      <c r="G760" s="4">
        <v>29677</v>
      </c>
      <c r="H760" s="4">
        <v>59354</v>
      </c>
      <c r="I760" s="4">
        <v>38749.39</v>
      </c>
      <c r="J760" s="4">
        <v>20604.61</v>
      </c>
      <c r="K760" t="s">
        <v>15</v>
      </c>
      <c r="L760" s="3">
        <f>(Table1[[#This Row],[Profit]]/Table1[[#This Row],[Sales_Amount]])*100</f>
        <v>34.714779121878898</v>
      </c>
      <c r="M760" s="4" t="str" cm="1">
        <f t="array" ref="M760">_xlfn.IFS(Table1[[#This Row],[Sales_Amount]]&gt;200000,"High",AND(Table1[[#This Row],[Sales_Amount]]&gt;100000,Table1[[#This Row],[Sales_Amount]]&lt;200000),"Medium",Table1[[#This Row],[Sales_Amount]]&lt;100000,"Low")</f>
        <v>Low</v>
      </c>
      <c r="N760" t="str">
        <f>TEXT(Table1[[#This Row],[Order_Date]],"MMMM")</f>
        <v>July</v>
      </c>
      <c r="O760">
        <f>YEAR(Table1[[#This Row],[Order_Date]])</f>
        <v>2027</v>
      </c>
    </row>
    <row r="761" spans="1:15" x14ac:dyDescent="0.3">
      <c r="A761" t="s">
        <v>792</v>
      </c>
      <c r="B761" s="1">
        <v>46580</v>
      </c>
      <c r="C761" t="s">
        <v>17</v>
      </c>
      <c r="D761" t="s">
        <v>29</v>
      </c>
      <c r="E761" t="s">
        <v>25</v>
      </c>
      <c r="F761" s="3">
        <v>7</v>
      </c>
      <c r="G761" s="4">
        <v>21957</v>
      </c>
      <c r="H761" s="4">
        <v>153699</v>
      </c>
      <c r="I761" s="4">
        <v>115011.2</v>
      </c>
      <c r="J761" s="4">
        <v>38687.800000000003</v>
      </c>
      <c r="K761" t="s">
        <v>23</v>
      </c>
      <c r="L761" s="3">
        <f>(Table1[[#This Row],[Profit]]/Table1[[#This Row],[Sales_Amount]])*100</f>
        <v>25.171146201341589</v>
      </c>
      <c r="M761" s="4" t="str" cm="1">
        <f t="array" ref="M761">_xlfn.IFS(Table1[[#This Row],[Sales_Amount]]&gt;200000,"High",AND(Table1[[#This Row],[Sales_Amount]]&gt;100000,Table1[[#This Row],[Sales_Amount]]&lt;200000),"Medium",Table1[[#This Row],[Sales_Amount]]&lt;100000,"Low")</f>
        <v>Medium</v>
      </c>
      <c r="N761" t="str">
        <f>TEXT(Table1[[#This Row],[Order_Date]],"MMMM")</f>
        <v>July</v>
      </c>
      <c r="O761">
        <f>YEAR(Table1[[#This Row],[Order_Date]])</f>
        <v>2027</v>
      </c>
    </row>
    <row r="762" spans="1:15" x14ac:dyDescent="0.3">
      <c r="A762" t="s">
        <v>793</v>
      </c>
      <c r="B762" s="1">
        <v>46581</v>
      </c>
      <c r="C762" t="s">
        <v>28</v>
      </c>
      <c r="D762" t="s">
        <v>44</v>
      </c>
      <c r="E762" t="s">
        <v>25</v>
      </c>
      <c r="F762" s="3">
        <v>1</v>
      </c>
      <c r="G762" s="4">
        <v>10115</v>
      </c>
      <c r="H762" s="4">
        <v>10115</v>
      </c>
      <c r="I762" s="4">
        <v>8074.44</v>
      </c>
      <c r="J762" s="4">
        <v>2040.56</v>
      </c>
      <c r="K762" t="s">
        <v>58</v>
      </c>
      <c r="L762" s="3">
        <f>(Table1[[#This Row],[Profit]]/Table1[[#This Row],[Sales_Amount]])*100</f>
        <v>20.173603559070685</v>
      </c>
      <c r="M762" s="4" t="str" cm="1">
        <f t="array" ref="M762">_xlfn.IFS(Table1[[#This Row],[Sales_Amount]]&gt;200000,"High",AND(Table1[[#This Row],[Sales_Amount]]&gt;100000,Table1[[#This Row],[Sales_Amount]]&lt;200000),"Medium",Table1[[#This Row],[Sales_Amount]]&lt;100000,"Low")</f>
        <v>Low</v>
      </c>
      <c r="N762" t="str">
        <f>TEXT(Table1[[#This Row],[Order_Date]],"MMMM")</f>
        <v>July</v>
      </c>
      <c r="O762">
        <f>YEAR(Table1[[#This Row],[Order_Date]])</f>
        <v>2027</v>
      </c>
    </row>
    <row r="763" spans="1:15" x14ac:dyDescent="0.3">
      <c r="A763" t="s">
        <v>794</v>
      </c>
      <c r="B763" s="1">
        <v>46582</v>
      </c>
      <c r="C763" t="s">
        <v>40</v>
      </c>
      <c r="D763" t="s">
        <v>44</v>
      </c>
      <c r="E763" t="s">
        <v>25</v>
      </c>
      <c r="F763" s="3">
        <v>8</v>
      </c>
      <c r="G763" s="4">
        <v>13323</v>
      </c>
      <c r="H763" s="4">
        <v>106584</v>
      </c>
      <c r="I763" s="4">
        <v>70526.47</v>
      </c>
      <c r="J763" s="4">
        <v>36057.53</v>
      </c>
      <c r="K763" t="s">
        <v>26</v>
      </c>
      <c r="L763" s="3">
        <f>(Table1[[#This Row],[Profit]]/Table1[[#This Row],[Sales_Amount]])*100</f>
        <v>33.830152743376111</v>
      </c>
      <c r="M763" s="4" t="str" cm="1">
        <f t="array" ref="M763">_xlfn.IFS(Table1[[#This Row],[Sales_Amount]]&gt;200000,"High",AND(Table1[[#This Row],[Sales_Amount]]&gt;100000,Table1[[#This Row],[Sales_Amount]]&lt;200000),"Medium",Table1[[#This Row],[Sales_Amount]]&lt;100000,"Low")</f>
        <v>Medium</v>
      </c>
      <c r="N763" t="str">
        <f>TEXT(Table1[[#This Row],[Order_Date]],"MMMM")</f>
        <v>July</v>
      </c>
      <c r="O763">
        <f>YEAR(Table1[[#This Row],[Order_Date]])</f>
        <v>2027</v>
      </c>
    </row>
    <row r="764" spans="1:15" x14ac:dyDescent="0.3">
      <c r="A764" t="s">
        <v>795</v>
      </c>
      <c r="B764" s="1">
        <v>46583</v>
      </c>
      <c r="C764" t="s">
        <v>28</v>
      </c>
      <c r="D764" t="s">
        <v>13</v>
      </c>
      <c r="E764" t="s">
        <v>19</v>
      </c>
      <c r="F764" s="3">
        <v>6</v>
      </c>
      <c r="G764" s="4">
        <v>6351</v>
      </c>
      <c r="H764" s="4">
        <v>38106</v>
      </c>
      <c r="I764" s="4">
        <v>29525.22</v>
      </c>
      <c r="J764" s="4">
        <v>8580.7800000000007</v>
      </c>
      <c r="K764" t="s">
        <v>26</v>
      </c>
      <c r="L764" s="3">
        <f>(Table1[[#This Row],[Profit]]/Table1[[#This Row],[Sales_Amount]])*100</f>
        <v>22.518186112423241</v>
      </c>
      <c r="M764" s="4" t="str" cm="1">
        <f t="array" ref="M764">_xlfn.IFS(Table1[[#This Row],[Sales_Amount]]&gt;200000,"High",AND(Table1[[#This Row],[Sales_Amount]]&gt;100000,Table1[[#This Row],[Sales_Amount]]&lt;200000),"Medium",Table1[[#This Row],[Sales_Amount]]&lt;100000,"Low")</f>
        <v>Low</v>
      </c>
      <c r="N764" t="str">
        <f>TEXT(Table1[[#This Row],[Order_Date]],"MMMM")</f>
        <v>July</v>
      </c>
      <c r="O764">
        <f>YEAR(Table1[[#This Row],[Order_Date]])</f>
        <v>2027</v>
      </c>
    </row>
    <row r="765" spans="1:15" x14ac:dyDescent="0.3">
      <c r="A765" t="s">
        <v>796</v>
      </c>
      <c r="B765" s="1">
        <v>46584</v>
      </c>
      <c r="C765" t="s">
        <v>40</v>
      </c>
      <c r="D765" t="s">
        <v>29</v>
      </c>
      <c r="E765" t="s">
        <v>32</v>
      </c>
      <c r="F765" s="3">
        <v>9</v>
      </c>
      <c r="G765" s="4">
        <v>3981</v>
      </c>
      <c r="H765" s="4">
        <v>35829</v>
      </c>
      <c r="I765" s="4">
        <v>21506.46</v>
      </c>
      <c r="J765" s="4">
        <v>14322.54</v>
      </c>
      <c r="K765" t="s">
        <v>26</v>
      </c>
      <c r="L765" s="3">
        <f>(Table1[[#This Row],[Profit]]/Table1[[#This Row],[Sales_Amount]])*100</f>
        <v>39.974713221133726</v>
      </c>
      <c r="M765" s="4" t="str" cm="1">
        <f t="array" ref="M765">_xlfn.IFS(Table1[[#This Row],[Sales_Amount]]&gt;200000,"High",AND(Table1[[#This Row],[Sales_Amount]]&gt;100000,Table1[[#This Row],[Sales_Amount]]&lt;200000),"Medium",Table1[[#This Row],[Sales_Amount]]&lt;100000,"Low")</f>
        <v>Low</v>
      </c>
      <c r="N765" t="str">
        <f>TEXT(Table1[[#This Row],[Order_Date]],"MMMM")</f>
        <v>July</v>
      </c>
      <c r="O765">
        <f>YEAR(Table1[[#This Row],[Order_Date]])</f>
        <v>2027</v>
      </c>
    </row>
    <row r="766" spans="1:15" x14ac:dyDescent="0.3">
      <c r="A766" t="s">
        <v>797</v>
      </c>
      <c r="B766" s="1">
        <v>46585</v>
      </c>
      <c r="C766" t="s">
        <v>40</v>
      </c>
      <c r="D766" t="s">
        <v>21</v>
      </c>
      <c r="E766" t="s">
        <v>22</v>
      </c>
      <c r="F766" s="3">
        <v>7</v>
      </c>
      <c r="G766" s="4">
        <v>46520</v>
      </c>
      <c r="H766" s="4">
        <v>325640</v>
      </c>
      <c r="I766" s="4">
        <v>253038.29</v>
      </c>
      <c r="J766" s="4">
        <v>72601.710000000006</v>
      </c>
      <c r="K766" t="s">
        <v>58</v>
      </c>
      <c r="L766" s="3">
        <f>(Table1[[#This Row],[Profit]]/Table1[[#This Row],[Sales_Amount]])*100</f>
        <v>22.295083527822136</v>
      </c>
      <c r="M766" s="4" t="str" cm="1">
        <f t="array" ref="M766">_xlfn.IFS(Table1[[#This Row],[Sales_Amount]]&gt;200000,"High",AND(Table1[[#This Row],[Sales_Amount]]&gt;100000,Table1[[#This Row],[Sales_Amount]]&lt;200000),"Medium",Table1[[#This Row],[Sales_Amount]]&lt;100000,"Low")</f>
        <v>High</v>
      </c>
      <c r="N766" t="str">
        <f>TEXT(Table1[[#This Row],[Order_Date]],"MMMM")</f>
        <v>July</v>
      </c>
      <c r="O766">
        <f>YEAR(Table1[[#This Row],[Order_Date]])</f>
        <v>2027</v>
      </c>
    </row>
    <row r="767" spans="1:15" x14ac:dyDescent="0.3">
      <c r="A767" t="s">
        <v>798</v>
      </c>
      <c r="B767" s="1">
        <v>46586</v>
      </c>
      <c r="C767" t="s">
        <v>28</v>
      </c>
      <c r="D767" t="s">
        <v>13</v>
      </c>
      <c r="E767" t="s">
        <v>37</v>
      </c>
      <c r="F767" s="3">
        <v>9</v>
      </c>
      <c r="G767" s="4">
        <v>14342</v>
      </c>
      <c r="H767" s="4">
        <v>129078</v>
      </c>
      <c r="I767" s="4">
        <v>103100.57</v>
      </c>
      <c r="J767" s="4">
        <v>25977.43</v>
      </c>
      <c r="K767" t="s">
        <v>23</v>
      </c>
      <c r="L767" s="3">
        <f>(Table1[[#This Row],[Profit]]/Table1[[#This Row],[Sales_Amount]])*100</f>
        <v>20.125373804986133</v>
      </c>
      <c r="M767" s="4" t="str" cm="1">
        <f t="array" ref="M767">_xlfn.IFS(Table1[[#This Row],[Sales_Amount]]&gt;200000,"High",AND(Table1[[#This Row],[Sales_Amount]]&gt;100000,Table1[[#This Row],[Sales_Amount]]&lt;200000),"Medium",Table1[[#This Row],[Sales_Amount]]&lt;100000,"Low")</f>
        <v>Medium</v>
      </c>
      <c r="N767" t="str">
        <f>TEXT(Table1[[#This Row],[Order_Date]],"MMMM")</f>
        <v>July</v>
      </c>
      <c r="O767">
        <f>YEAR(Table1[[#This Row],[Order_Date]])</f>
        <v>2027</v>
      </c>
    </row>
    <row r="768" spans="1:15" x14ac:dyDescent="0.3">
      <c r="A768" t="s">
        <v>799</v>
      </c>
      <c r="B768" s="1">
        <v>46587</v>
      </c>
      <c r="C768" t="s">
        <v>12</v>
      </c>
      <c r="D768" t="s">
        <v>13</v>
      </c>
      <c r="E768" t="s">
        <v>37</v>
      </c>
      <c r="F768" s="3">
        <v>6</v>
      </c>
      <c r="G768" s="4">
        <v>27843</v>
      </c>
      <c r="H768" s="4">
        <v>167058</v>
      </c>
      <c r="I768" s="4">
        <v>107966.28</v>
      </c>
      <c r="J768" s="4">
        <v>59091.72</v>
      </c>
      <c r="K768" t="s">
        <v>15</v>
      </c>
      <c r="L768" s="3">
        <f>(Table1[[#This Row],[Profit]]/Table1[[#This Row],[Sales_Amount]])*100</f>
        <v>35.371978594260675</v>
      </c>
      <c r="M768" s="4" t="str" cm="1">
        <f t="array" ref="M768">_xlfn.IFS(Table1[[#This Row],[Sales_Amount]]&gt;200000,"High",AND(Table1[[#This Row],[Sales_Amount]]&gt;100000,Table1[[#This Row],[Sales_Amount]]&lt;200000),"Medium",Table1[[#This Row],[Sales_Amount]]&lt;100000,"Low")</f>
        <v>Medium</v>
      </c>
      <c r="N768" t="str">
        <f>TEXT(Table1[[#This Row],[Order_Date]],"MMMM")</f>
        <v>July</v>
      </c>
      <c r="O768">
        <f>YEAR(Table1[[#This Row],[Order_Date]])</f>
        <v>2027</v>
      </c>
    </row>
    <row r="769" spans="1:15" x14ac:dyDescent="0.3">
      <c r="A769" t="s">
        <v>800</v>
      </c>
      <c r="B769" s="1">
        <v>46588</v>
      </c>
      <c r="C769" t="s">
        <v>28</v>
      </c>
      <c r="D769" t="s">
        <v>21</v>
      </c>
      <c r="E769" t="s">
        <v>19</v>
      </c>
      <c r="F769" s="3">
        <v>1</v>
      </c>
      <c r="G769" s="4">
        <v>9936</v>
      </c>
      <c r="H769" s="4">
        <v>9936</v>
      </c>
      <c r="I769" s="4">
        <v>8111.77</v>
      </c>
      <c r="J769" s="4">
        <v>1824.23</v>
      </c>
      <c r="K769" t="s">
        <v>23</v>
      </c>
      <c r="L769" s="3">
        <f>(Table1[[#This Row],[Profit]]/Table1[[#This Row],[Sales_Amount]])*100</f>
        <v>18.359802737520127</v>
      </c>
      <c r="M769" s="4" t="str" cm="1">
        <f t="array" ref="M769">_xlfn.IFS(Table1[[#This Row],[Sales_Amount]]&gt;200000,"High",AND(Table1[[#This Row],[Sales_Amount]]&gt;100000,Table1[[#This Row],[Sales_Amount]]&lt;200000),"Medium",Table1[[#This Row],[Sales_Amount]]&lt;100000,"Low")</f>
        <v>Low</v>
      </c>
      <c r="N769" t="str">
        <f>TEXT(Table1[[#This Row],[Order_Date]],"MMMM")</f>
        <v>July</v>
      </c>
      <c r="O769">
        <f>YEAR(Table1[[#This Row],[Order_Date]])</f>
        <v>2027</v>
      </c>
    </row>
    <row r="770" spans="1:15" x14ac:dyDescent="0.3">
      <c r="A770" t="s">
        <v>801</v>
      </c>
      <c r="B770" s="1">
        <v>46589</v>
      </c>
      <c r="C770" t="s">
        <v>28</v>
      </c>
      <c r="D770" t="s">
        <v>13</v>
      </c>
      <c r="E770" t="s">
        <v>22</v>
      </c>
      <c r="F770" s="3">
        <v>7</v>
      </c>
      <c r="G770" s="4">
        <v>30386</v>
      </c>
      <c r="H770" s="4">
        <v>212702</v>
      </c>
      <c r="I770" s="4">
        <v>184641.23</v>
      </c>
      <c r="J770" s="4">
        <v>28060.77</v>
      </c>
      <c r="K770" t="s">
        <v>58</v>
      </c>
      <c r="L770" s="3">
        <f>(Table1[[#This Row],[Profit]]/Table1[[#This Row],[Sales_Amount]])*100</f>
        <v>13.192527573788681</v>
      </c>
      <c r="M770" s="4" t="str" cm="1">
        <f t="array" ref="M770">_xlfn.IFS(Table1[[#This Row],[Sales_Amount]]&gt;200000,"High",AND(Table1[[#This Row],[Sales_Amount]]&gt;100000,Table1[[#This Row],[Sales_Amount]]&lt;200000),"Medium",Table1[[#This Row],[Sales_Amount]]&lt;100000,"Low")</f>
        <v>High</v>
      </c>
      <c r="N770" t="str">
        <f>TEXT(Table1[[#This Row],[Order_Date]],"MMMM")</f>
        <v>July</v>
      </c>
      <c r="O770">
        <f>YEAR(Table1[[#This Row],[Order_Date]])</f>
        <v>2027</v>
      </c>
    </row>
    <row r="771" spans="1:15" x14ac:dyDescent="0.3">
      <c r="A771" t="s">
        <v>802</v>
      </c>
      <c r="B771" s="1">
        <v>46590</v>
      </c>
      <c r="C771" t="s">
        <v>12</v>
      </c>
      <c r="D771" t="s">
        <v>13</v>
      </c>
      <c r="E771" t="s">
        <v>37</v>
      </c>
      <c r="F771" s="3">
        <v>9</v>
      </c>
      <c r="G771" s="4">
        <v>29994</v>
      </c>
      <c r="H771" s="4">
        <v>269946</v>
      </c>
      <c r="I771" s="4">
        <v>193123.26</v>
      </c>
      <c r="J771" s="4">
        <v>76822.740000000005</v>
      </c>
      <c r="K771" t="s">
        <v>58</v>
      </c>
      <c r="L771" s="3">
        <f>(Table1[[#This Row],[Profit]]/Table1[[#This Row],[Sales_Amount]])*100</f>
        <v>28.458558378342335</v>
      </c>
      <c r="M771" s="4" t="str" cm="1">
        <f t="array" ref="M771">_xlfn.IFS(Table1[[#This Row],[Sales_Amount]]&gt;200000,"High",AND(Table1[[#This Row],[Sales_Amount]]&gt;100000,Table1[[#This Row],[Sales_Amount]]&lt;200000),"Medium",Table1[[#This Row],[Sales_Amount]]&lt;100000,"Low")</f>
        <v>High</v>
      </c>
      <c r="N771" t="str">
        <f>TEXT(Table1[[#This Row],[Order_Date]],"MMMM")</f>
        <v>July</v>
      </c>
      <c r="O771">
        <f>YEAR(Table1[[#This Row],[Order_Date]])</f>
        <v>2027</v>
      </c>
    </row>
    <row r="772" spans="1:15" x14ac:dyDescent="0.3">
      <c r="A772" t="s">
        <v>803</v>
      </c>
      <c r="B772" s="1">
        <v>46591</v>
      </c>
      <c r="C772" t="s">
        <v>12</v>
      </c>
      <c r="D772" t="s">
        <v>44</v>
      </c>
      <c r="E772" t="s">
        <v>14</v>
      </c>
      <c r="F772" s="3">
        <v>10</v>
      </c>
      <c r="G772" s="4">
        <v>33147</v>
      </c>
      <c r="H772" s="4">
        <v>331470</v>
      </c>
      <c r="I772" s="4">
        <v>283089.03000000003</v>
      </c>
      <c r="J772" s="4">
        <v>48380.97</v>
      </c>
      <c r="K772" t="s">
        <v>58</v>
      </c>
      <c r="L772" s="3">
        <f>(Table1[[#This Row],[Profit]]/Table1[[#This Row],[Sales_Amount]])*100</f>
        <v>14.595881980269709</v>
      </c>
      <c r="M772" s="4" t="str" cm="1">
        <f t="array" ref="M772">_xlfn.IFS(Table1[[#This Row],[Sales_Amount]]&gt;200000,"High",AND(Table1[[#This Row],[Sales_Amount]]&gt;100000,Table1[[#This Row],[Sales_Amount]]&lt;200000),"Medium",Table1[[#This Row],[Sales_Amount]]&lt;100000,"Low")</f>
        <v>High</v>
      </c>
      <c r="N772" t="str">
        <f>TEXT(Table1[[#This Row],[Order_Date]],"MMMM")</f>
        <v>July</v>
      </c>
      <c r="O772">
        <f>YEAR(Table1[[#This Row],[Order_Date]])</f>
        <v>2027</v>
      </c>
    </row>
    <row r="773" spans="1:15" x14ac:dyDescent="0.3">
      <c r="A773" t="s">
        <v>804</v>
      </c>
      <c r="B773" s="1">
        <v>46592</v>
      </c>
      <c r="C773" t="s">
        <v>28</v>
      </c>
      <c r="D773" t="s">
        <v>34</v>
      </c>
      <c r="E773" t="s">
        <v>25</v>
      </c>
      <c r="F773" s="3">
        <v>6</v>
      </c>
      <c r="G773" s="4">
        <v>2692</v>
      </c>
      <c r="H773" s="4">
        <v>16152</v>
      </c>
      <c r="I773" s="4">
        <v>14431.33</v>
      </c>
      <c r="J773" s="4">
        <v>1720.67</v>
      </c>
      <c r="K773" t="s">
        <v>15</v>
      </c>
      <c r="L773" s="3">
        <f>(Table1[[#This Row],[Profit]]/Table1[[#This Row],[Sales_Amount]])*100</f>
        <v>10.652984150569589</v>
      </c>
      <c r="M773" s="4" t="str" cm="1">
        <f t="array" ref="M773">_xlfn.IFS(Table1[[#This Row],[Sales_Amount]]&gt;200000,"High",AND(Table1[[#This Row],[Sales_Amount]]&gt;100000,Table1[[#This Row],[Sales_Amount]]&lt;200000),"Medium",Table1[[#This Row],[Sales_Amount]]&lt;100000,"Low")</f>
        <v>Low</v>
      </c>
      <c r="N773" t="str">
        <f>TEXT(Table1[[#This Row],[Order_Date]],"MMMM")</f>
        <v>July</v>
      </c>
      <c r="O773">
        <f>YEAR(Table1[[#This Row],[Order_Date]])</f>
        <v>2027</v>
      </c>
    </row>
    <row r="774" spans="1:15" x14ac:dyDescent="0.3">
      <c r="A774" t="s">
        <v>805</v>
      </c>
      <c r="B774" s="1">
        <v>46593</v>
      </c>
      <c r="C774" t="s">
        <v>40</v>
      </c>
      <c r="D774" t="s">
        <v>56</v>
      </c>
      <c r="E774" t="s">
        <v>37</v>
      </c>
      <c r="F774" s="3">
        <v>2</v>
      </c>
      <c r="G774" s="4">
        <v>9811</v>
      </c>
      <c r="H774" s="4">
        <v>19622</v>
      </c>
      <c r="I774" s="4">
        <v>16071.51</v>
      </c>
      <c r="J774" s="4">
        <v>3550.49</v>
      </c>
      <c r="K774" t="s">
        <v>15</v>
      </c>
      <c r="L774" s="3">
        <f>(Table1[[#This Row],[Profit]]/Table1[[#This Row],[Sales_Amount]])*100</f>
        <v>18.094434818061359</v>
      </c>
      <c r="M774" s="4" t="str" cm="1">
        <f t="array" ref="M774">_xlfn.IFS(Table1[[#This Row],[Sales_Amount]]&gt;200000,"High",AND(Table1[[#This Row],[Sales_Amount]]&gt;100000,Table1[[#This Row],[Sales_Amount]]&lt;200000),"Medium",Table1[[#This Row],[Sales_Amount]]&lt;100000,"Low")</f>
        <v>Low</v>
      </c>
      <c r="N774" t="str">
        <f>TEXT(Table1[[#This Row],[Order_Date]],"MMMM")</f>
        <v>July</v>
      </c>
      <c r="O774">
        <f>YEAR(Table1[[#This Row],[Order_Date]])</f>
        <v>2027</v>
      </c>
    </row>
    <row r="775" spans="1:15" x14ac:dyDescent="0.3">
      <c r="A775" t="s">
        <v>806</v>
      </c>
      <c r="B775" s="1">
        <v>46594</v>
      </c>
      <c r="C775" t="s">
        <v>17</v>
      </c>
      <c r="D775" t="s">
        <v>44</v>
      </c>
      <c r="E775" t="s">
        <v>25</v>
      </c>
      <c r="F775" s="3">
        <v>2</v>
      </c>
      <c r="G775" s="4">
        <v>16571</v>
      </c>
      <c r="H775" s="4">
        <v>33142</v>
      </c>
      <c r="I775" s="4">
        <v>24582.6</v>
      </c>
      <c r="J775" s="4">
        <v>8559.4</v>
      </c>
      <c r="K775" t="s">
        <v>15</v>
      </c>
      <c r="L775" s="3">
        <f>(Table1[[#This Row],[Profit]]/Table1[[#This Row],[Sales_Amount]])*100</f>
        <v>25.826443787339326</v>
      </c>
      <c r="M775" s="4" t="str" cm="1">
        <f t="array" ref="M775">_xlfn.IFS(Table1[[#This Row],[Sales_Amount]]&gt;200000,"High",AND(Table1[[#This Row],[Sales_Amount]]&gt;100000,Table1[[#This Row],[Sales_Amount]]&lt;200000),"Medium",Table1[[#This Row],[Sales_Amount]]&lt;100000,"Low")</f>
        <v>Low</v>
      </c>
      <c r="N775" t="str">
        <f>TEXT(Table1[[#This Row],[Order_Date]],"MMMM")</f>
        <v>July</v>
      </c>
      <c r="O775">
        <f>YEAR(Table1[[#This Row],[Order_Date]])</f>
        <v>2027</v>
      </c>
    </row>
    <row r="776" spans="1:15" x14ac:dyDescent="0.3">
      <c r="A776" t="s">
        <v>807</v>
      </c>
      <c r="B776" s="1">
        <v>46595</v>
      </c>
      <c r="C776" t="s">
        <v>28</v>
      </c>
      <c r="D776" t="s">
        <v>34</v>
      </c>
      <c r="E776" t="s">
        <v>25</v>
      </c>
      <c r="F776" s="3">
        <v>1</v>
      </c>
      <c r="G776" s="4">
        <v>31227</v>
      </c>
      <c r="H776" s="4">
        <v>31227</v>
      </c>
      <c r="I776" s="4">
        <v>22989.64</v>
      </c>
      <c r="J776" s="4">
        <v>8237.36</v>
      </c>
      <c r="K776" t="s">
        <v>58</v>
      </c>
      <c r="L776" s="3">
        <f>(Table1[[#This Row],[Profit]]/Table1[[#This Row],[Sales_Amount]])*100</f>
        <v>26.378966919652868</v>
      </c>
      <c r="M776" s="4" t="str" cm="1">
        <f t="array" ref="M776">_xlfn.IFS(Table1[[#This Row],[Sales_Amount]]&gt;200000,"High",AND(Table1[[#This Row],[Sales_Amount]]&gt;100000,Table1[[#This Row],[Sales_Amount]]&lt;200000),"Medium",Table1[[#This Row],[Sales_Amount]]&lt;100000,"Low")</f>
        <v>Low</v>
      </c>
      <c r="N776" t="str">
        <f>TEXT(Table1[[#This Row],[Order_Date]],"MMMM")</f>
        <v>July</v>
      </c>
      <c r="O776">
        <f>YEAR(Table1[[#This Row],[Order_Date]])</f>
        <v>2027</v>
      </c>
    </row>
    <row r="777" spans="1:15" x14ac:dyDescent="0.3">
      <c r="A777" t="s">
        <v>808</v>
      </c>
      <c r="B777" s="1">
        <v>46596</v>
      </c>
      <c r="C777" t="s">
        <v>40</v>
      </c>
      <c r="D777" t="s">
        <v>44</v>
      </c>
      <c r="E777" t="s">
        <v>32</v>
      </c>
      <c r="F777" s="3">
        <v>5</v>
      </c>
      <c r="G777" s="4">
        <v>11477</v>
      </c>
      <c r="H777" s="4">
        <v>57385</v>
      </c>
      <c r="I777" s="4">
        <v>35039.160000000003</v>
      </c>
      <c r="J777" s="4">
        <v>22345.84</v>
      </c>
      <c r="K777" t="s">
        <v>15</v>
      </c>
      <c r="L777" s="3">
        <f>(Table1[[#This Row],[Profit]]/Table1[[#This Row],[Sales_Amount]])*100</f>
        <v>38.940210856495597</v>
      </c>
      <c r="M777" s="4" t="str" cm="1">
        <f t="array" ref="M777">_xlfn.IFS(Table1[[#This Row],[Sales_Amount]]&gt;200000,"High",AND(Table1[[#This Row],[Sales_Amount]]&gt;100000,Table1[[#This Row],[Sales_Amount]]&lt;200000),"Medium",Table1[[#This Row],[Sales_Amount]]&lt;100000,"Low")</f>
        <v>Low</v>
      </c>
      <c r="N777" t="str">
        <f>TEXT(Table1[[#This Row],[Order_Date]],"MMMM")</f>
        <v>July</v>
      </c>
      <c r="O777">
        <f>YEAR(Table1[[#This Row],[Order_Date]])</f>
        <v>2027</v>
      </c>
    </row>
    <row r="778" spans="1:15" x14ac:dyDescent="0.3">
      <c r="A778" t="s">
        <v>809</v>
      </c>
      <c r="B778" s="1">
        <v>46597</v>
      </c>
      <c r="C778" t="s">
        <v>40</v>
      </c>
      <c r="D778" t="s">
        <v>18</v>
      </c>
      <c r="E778" t="s">
        <v>37</v>
      </c>
      <c r="F778" s="3">
        <v>10</v>
      </c>
      <c r="G778" s="4">
        <v>11580</v>
      </c>
      <c r="H778" s="4">
        <v>115800</v>
      </c>
      <c r="I778" s="4">
        <v>89381.16</v>
      </c>
      <c r="J778" s="4">
        <v>26418.84</v>
      </c>
      <c r="K778" t="s">
        <v>26</v>
      </c>
      <c r="L778" s="3">
        <f>(Table1[[#This Row],[Profit]]/Table1[[#This Row],[Sales_Amount]])*100</f>
        <v>22.81419689119171</v>
      </c>
      <c r="M778" s="4" t="str" cm="1">
        <f t="array" ref="M778">_xlfn.IFS(Table1[[#This Row],[Sales_Amount]]&gt;200000,"High",AND(Table1[[#This Row],[Sales_Amount]]&gt;100000,Table1[[#This Row],[Sales_Amount]]&lt;200000),"Medium",Table1[[#This Row],[Sales_Amount]]&lt;100000,"Low")</f>
        <v>Medium</v>
      </c>
      <c r="N778" t="str">
        <f>TEXT(Table1[[#This Row],[Order_Date]],"MMMM")</f>
        <v>July</v>
      </c>
      <c r="O778">
        <f>YEAR(Table1[[#This Row],[Order_Date]])</f>
        <v>2027</v>
      </c>
    </row>
    <row r="779" spans="1:15" x14ac:dyDescent="0.3">
      <c r="A779" t="s">
        <v>810</v>
      </c>
      <c r="B779" s="1">
        <v>46598</v>
      </c>
      <c r="C779" t="s">
        <v>40</v>
      </c>
      <c r="D779" t="s">
        <v>44</v>
      </c>
      <c r="E779" t="s">
        <v>14</v>
      </c>
      <c r="F779" s="3">
        <v>3</v>
      </c>
      <c r="G779" s="4">
        <v>33634</v>
      </c>
      <c r="H779" s="4">
        <v>100902</v>
      </c>
      <c r="I779" s="4">
        <v>62867.87</v>
      </c>
      <c r="J779" s="4">
        <v>38034.129999999997</v>
      </c>
      <c r="K779" t="s">
        <v>23</v>
      </c>
      <c r="L779" s="3">
        <f>(Table1[[#This Row],[Profit]]/Table1[[#This Row],[Sales_Amount]])*100</f>
        <v>37.694128956809578</v>
      </c>
      <c r="M779" s="4" t="str" cm="1">
        <f t="array" ref="M779">_xlfn.IFS(Table1[[#This Row],[Sales_Amount]]&gt;200000,"High",AND(Table1[[#This Row],[Sales_Amount]]&gt;100000,Table1[[#This Row],[Sales_Amount]]&lt;200000),"Medium",Table1[[#This Row],[Sales_Amount]]&lt;100000,"Low")</f>
        <v>Medium</v>
      </c>
      <c r="N779" t="str">
        <f>TEXT(Table1[[#This Row],[Order_Date]],"MMMM")</f>
        <v>July</v>
      </c>
      <c r="O779">
        <f>YEAR(Table1[[#This Row],[Order_Date]])</f>
        <v>2027</v>
      </c>
    </row>
    <row r="780" spans="1:15" x14ac:dyDescent="0.3">
      <c r="A780" t="s">
        <v>811</v>
      </c>
      <c r="B780" s="1">
        <v>46599</v>
      </c>
      <c r="C780" t="s">
        <v>17</v>
      </c>
      <c r="D780" t="s">
        <v>13</v>
      </c>
      <c r="E780" t="s">
        <v>32</v>
      </c>
      <c r="F780" s="3">
        <v>5</v>
      </c>
      <c r="G780" s="4">
        <v>17339</v>
      </c>
      <c r="H780" s="4">
        <v>86695</v>
      </c>
      <c r="I780" s="4">
        <v>52386.400000000001</v>
      </c>
      <c r="J780" s="4">
        <v>34308.6</v>
      </c>
      <c r="K780" t="s">
        <v>23</v>
      </c>
      <c r="L780" s="3">
        <f>(Table1[[#This Row],[Profit]]/Table1[[#This Row],[Sales_Amount]])*100</f>
        <v>39.573908529903683</v>
      </c>
      <c r="M780" s="4" t="str" cm="1">
        <f t="array" ref="M780">_xlfn.IFS(Table1[[#This Row],[Sales_Amount]]&gt;200000,"High",AND(Table1[[#This Row],[Sales_Amount]]&gt;100000,Table1[[#This Row],[Sales_Amount]]&lt;200000),"Medium",Table1[[#This Row],[Sales_Amount]]&lt;100000,"Low")</f>
        <v>Low</v>
      </c>
      <c r="N780" t="str">
        <f>TEXT(Table1[[#This Row],[Order_Date]],"MMMM")</f>
        <v>July</v>
      </c>
      <c r="O780">
        <f>YEAR(Table1[[#This Row],[Order_Date]])</f>
        <v>2027</v>
      </c>
    </row>
    <row r="781" spans="1:15" x14ac:dyDescent="0.3">
      <c r="A781" t="s">
        <v>812</v>
      </c>
      <c r="B781" s="1">
        <v>46600</v>
      </c>
      <c r="C781" t="s">
        <v>12</v>
      </c>
      <c r="D781" t="s">
        <v>56</v>
      </c>
      <c r="E781" t="s">
        <v>37</v>
      </c>
      <c r="F781" s="3">
        <v>6</v>
      </c>
      <c r="G781" s="4">
        <v>11994</v>
      </c>
      <c r="H781" s="4">
        <v>71964</v>
      </c>
      <c r="I781" s="4">
        <v>48818.63</v>
      </c>
      <c r="J781" s="4">
        <v>23145.37</v>
      </c>
      <c r="K781" t="s">
        <v>23</v>
      </c>
      <c r="L781" s="3">
        <f>(Table1[[#This Row],[Profit]]/Table1[[#This Row],[Sales_Amount]])*100</f>
        <v>32.162428436440443</v>
      </c>
      <c r="M781" s="4" t="str" cm="1">
        <f t="array" ref="M781">_xlfn.IFS(Table1[[#This Row],[Sales_Amount]]&gt;200000,"High",AND(Table1[[#This Row],[Sales_Amount]]&gt;100000,Table1[[#This Row],[Sales_Amount]]&lt;200000),"Medium",Table1[[#This Row],[Sales_Amount]]&lt;100000,"Low")</f>
        <v>Low</v>
      </c>
      <c r="N781" t="str">
        <f>TEXT(Table1[[#This Row],[Order_Date]],"MMMM")</f>
        <v>August</v>
      </c>
      <c r="O781">
        <f>YEAR(Table1[[#This Row],[Order_Date]])</f>
        <v>2027</v>
      </c>
    </row>
    <row r="782" spans="1:15" x14ac:dyDescent="0.3">
      <c r="A782" t="s">
        <v>813</v>
      </c>
      <c r="B782" s="1">
        <v>46601</v>
      </c>
      <c r="C782" t="s">
        <v>12</v>
      </c>
      <c r="D782" t="s">
        <v>56</v>
      </c>
      <c r="E782" t="s">
        <v>14</v>
      </c>
      <c r="F782" s="3">
        <v>6</v>
      </c>
      <c r="G782" s="4">
        <v>6031</v>
      </c>
      <c r="H782" s="4">
        <v>36186</v>
      </c>
      <c r="I782" s="4">
        <v>32212.91</v>
      </c>
      <c r="J782" s="4">
        <v>3973.09</v>
      </c>
      <c r="K782" t="s">
        <v>58</v>
      </c>
      <c r="L782" s="3">
        <f>(Table1[[#This Row],[Profit]]/Table1[[#This Row],[Sales_Amount]])*100</f>
        <v>10.97963300724037</v>
      </c>
      <c r="M782" s="4" t="str" cm="1">
        <f t="array" ref="M782">_xlfn.IFS(Table1[[#This Row],[Sales_Amount]]&gt;200000,"High",AND(Table1[[#This Row],[Sales_Amount]]&gt;100000,Table1[[#This Row],[Sales_Amount]]&lt;200000),"Medium",Table1[[#This Row],[Sales_Amount]]&lt;100000,"Low")</f>
        <v>Low</v>
      </c>
      <c r="N782" t="str">
        <f>TEXT(Table1[[#This Row],[Order_Date]],"MMMM")</f>
        <v>August</v>
      </c>
      <c r="O782">
        <f>YEAR(Table1[[#This Row],[Order_Date]])</f>
        <v>2027</v>
      </c>
    </row>
    <row r="783" spans="1:15" x14ac:dyDescent="0.3">
      <c r="A783" t="s">
        <v>814</v>
      </c>
      <c r="B783" s="1">
        <v>46602</v>
      </c>
      <c r="C783" t="s">
        <v>12</v>
      </c>
      <c r="D783" t="s">
        <v>34</v>
      </c>
      <c r="E783" t="s">
        <v>22</v>
      </c>
      <c r="F783" s="3">
        <v>8</v>
      </c>
      <c r="G783" s="4">
        <v>48079</v>
      </c>
      <c r="H783" s="4">
        <v>384632</v>
      </c>
      <c r="I783" s="4">
        <v>304348.69</v>
      </c>
      <c r="J783" s="4">
        <v>80283.31</v>
      </c>
      <c r="K783" t="s">
        <v>15</v>
      </c>
      <c r="L783" s="3">
        <f>(Table1[[#This Row],[Profit]]/Table1[[#This Row],[Sales_Amount]])*100</f>
        <v>20.872758896815657</v>
      </c>
      <c r="M783" s="4" t="str" cm="1">
        <f t="array" ref="M783">_xlfn.IFS(Table1[[#This Row],[Sales_Amount]]&gt;200000,"High",AND(Table1[[#This Row],[Sales_Amount]]&gt;100000,Table1[[#This Row],[Sales_Amount]]&lt;200000),"Medium",Table1[[#This Row],[Sales_Amount]]&lt;100000,"Low")</f>
        <v>High</v>
      </c>
      <c r="N783" t="str">
        <f>TEXT(Table1[[#This Row],[Order_Date]],"MMMM")</f>
        <v>August</v>
      </c>
      <c r="O783">
        <f>YEAR(Table1[[#This Row],[Order_Date]])</f>
        <v>2027</v>
      </c>
    </row>
    <row r="784" spans="1:15" x14ac:dyDescent="0.3">
      <c r="A784" t="s">
        <v>815</v>
      </c>
      <c r="B784" s="1">
        <v>46603</v>
      </c>
      <c r="C784" t="s">
        <v>28</v>
      </c>
      <c r="D784" t="s">
        <v>56</v>
      </c>
      <c r="E784" t="s">
        <v>32</v>
      </c>
      <c r="F784" s="3">
        <v>2</v>
      </c>
      <c r="G784" s="4">
        <v>3942</v>
      </c>
      <c r="H784" s="4">
        <v>7884</v>
      </c>
      <c r="I784" s="4">
        <v>5126.8100000000004</v>
      </c>
      <c r="J784" s="4">
        <v>2757.19</v>
      </c>
      <c r="K784" t="s">
        <v>26</v>
      </c>
      <c r="L784" s="3">
        <f>(Table1[[#This Row],[Profit]]/Table1[[#This Row],[Sales_Amount]])*100</f>
        <v>34.971968543886348</v>
      </c>
      <c r="M784" s="4" t="str" cm="1">
        <f t="array" ref="M784">_xlfn.IFS(Table1[[#This Row],[Sales_Amount]]&gt;200000,"High",AND(Table1[[#This Row],[Sales_Amount]]&gt;100000,Table1[[#This Row],[Sales_Amount]]&lt;200000),"Medium",Table1[[#This Row],[Sales_Amount]]&lt;100000,"Low")</f>
        <v>Low</v>
      </c>
      <c r="N784" t="str">
        <f>TEXT(Table1[[#This Row],[Order_Date]],"MMMM")</f>
        <v>August</v>
      </c>
      <c r="O784">
        <f>YEAR(Table1[[#This Row],[Order_Date]])</f>
        <v>2027</v>
      </c>
    </row>
    <row r="785" spans="1:15" x14ac:dyDescent="0.3">
      <c r="A785" t="s">
        <v>816</v>
      </c>
      <c r="B785" s="1">
        <v>46604</v>
      </c>
      <c r="C785" t="s">
        <v>28</v>
      </c>
      <c r="D785" t="s">
        <v>56</v>
      </c>
      <c r="E785" t="s">
        <v>19</v>
      </c>
      <c r="F785" s="3">
        <v>9</v>
      </c>
      <c r="G785" s="4">
        <v>15813</v>
      </c>
      <c r="H785" s="4">
        <v>142317</v>
      </c>
      <c r="I785" s="4">
        <v>101605.83</v>
      </c>
      <c r="J785" s="4">
        <v>40711.17</v>
      </c>
      <c r="K785" t="s">
        <v>26</v>
      </c>
      <c r="L785" s="3">
        <f>(Table1[[#This Row],[Profit]]/Table1[[#This Row],[Sales_Amount]])*100</f>
        <v>28.60597820358776</v>
      </c>
      <c r="M785" s="4" t="str" cm="1">
        <f t="array" ref="M785">_xlfn.IFS(Table1[[#This Row],[Sales_Amount]]&gt;200000,"High",AND(Table1[[#This Row],[Sales_Amount]]&gt;100000,Table1[[#This Row],[Sales_Amount]]&lt;200000),"Medium",Table1[[#This Row],[Sales_Amount]]&lt;100000,"Low")</f>
        <v>Medium</v>
      </c>
      <c r="N785" t="str">
        <f>TEXT(Table1[[#This Row],[Order_Date]],"MMMM")</f>
        <v>August</v>
      </c>
      <c r="O785">
        <f>YEAR(Table1[[#This Row],[Order_Date]])</f>
        <v>2027</v>
      </c>
    </row>
    <row r="786" spans="1:15" x14ac:dyDescent="0.3">
      <c r="A786" t="s">
        <v>817</v>
      </c>
      <c r="B786" s="1">
        <v>46605</v>
      </c>
      <c r="C786" t="s">
        <v>28</v>
      </c>
      <c r="D786" t="s">
        <v>21</v>
      </c>
      <c r="E786" t="s">
        <v>25</v>
      </c>
      <c r="F786" s="3">
        <v>7</v>
      </c>
      <c r="G786" s="4">
        <v>1277</v>
      </c>
      <c r="H786" s="4">
        <v>8939</v>
      </c>
      <c r="I786" s="4">
        <v>6137.85</v>
      </c>
      <c r="J786" s="4">
        <v>2801.15</v>
      </c>
      <c r="K786" t="s">
        <v>26</v>
      </c>
      <c r="L786" s="3">
        <f>(Table1[[#This Row],[Profit]]/Table1[[#This Row],[Sales_Amount]])*100</f>
        <v>31.336279225864196</v>
      </c>
      <c r="M786" s="4" t="str" cm="1">
        <f t="array" ref="M786">_xlfn.IFS(Table1[[#This Row],[Sales_Amount]]&gt;200000,"High",AND(Table1[[#This Row],[Sales_Amount]]&gt;100000,Table1[[#This Row],[Sales_Amount]]&lt;200000),"Medium",Table1[[#This Row],[Sales_Amount]]&lt;100000,"Low")</f>
        <v>Low</v>
      </c>
      <c r="N786" t="str">
        <f>TEXT(Table1[[#This Row],[Order_Date]],"MMMM")</f>
        <v>August</v>
      </c>
      <c r="O786">
        <f>YEAR(Table1[[#This Row],[Order_Date]])</f>
        <v>2027</v>
      </c>
    </row>
    <row r="787" spans="1:15" x14ac:dyDescent="0.3">
      <c r="A787" t="s">
        <v>818</v>
      </c>
      <c r="B787" s="1">
        <v>46606</v>
      </c>
      <c r="C787" t="s">
        <v>40</v>
      </c>
      <c r="D787" t="s">
        <v>21</v>
      </c>
      <c r="E787" t="s">
        <v>19</v>
      </c>
      <c r="F787" s="3">
        <v>1</v>
      </c>
      <c r="G787" s="4">
        <v>6880</v>
      </c>
      <c r="H787" s="4">
        <v>6880</v>
      </c>
      <c r="I787" s="4">
        <v>6022.16</v>
      </c>
      <c r="J787" s="4">
        <v>857.84</v>
      </c>
      <c r="K787" t="s">
        <v>26</v>
      </c>
      <c r="L787" s="3">
        <f>(Table1[[#This Row],[Profit]]/Table1[[#This Row],[Sales_Amount]])*100</f>
        <v>12.468604651162792</v>
      </c>
      <c r="M787" s="4" t="str" cm="1">
        <f t="array" ref="M787">_xlfn.IFS(Table1[[#This Row],[Sales_Amount]]&gt;200000,"High",AND(Table1[[#This Row],[Sales_Amount]]&gt;100000,Table1[[#This Row],[Sales_Amount]]&lt;200000),"Medium",Table1[[#This Row],[Sales_Amount]]&lt;100000,"Low")</f>
        <v>Low</v>
      </c>
      <c r="N787" t="str">
        <f>TEXT(Table1[[#This Row],[Order_Date]],"MMMM")</f>
        <v>August</v>
      </c>
      <c r="O787">
        <f>YEAR(Table1[[#This Row],[Order_Date]])</f>
        <v>2027</v>
      </c>
    </row>
    <row r="788" spans="1:15" x14ac:dyDescent="0.3">
      <c r="A788" t="s">
        <v>819</v>
      </c>
      <c r="B788" s="1">
        <v>46607</v>
      </c>
      <c r="C788" t="s">
        <v>28</v>
      </c>
      <c r="D788" t="s">
        <v>56</v>
      </c>
      <c r="E788" t="s">
        <v>32</v>
      </c>
      <c r="F788" s="3">
        <v>5</v>
      </c>
      <c r="G788" s="4">
        <v>6940</v>
      </c>
      <c r="H788" s="4">
        <v>34700</v>
      </c>
      <c r="I788" s="4">
        <v>23478.13</v>
      </c>
      <c r="J788" s="4">
        <v>11221.87</v>
      </c>
      <c r="K788" t="s">
        <v>23</v>
      </c>
      <c r="L788" s="3">
        <f>(Table1[[#This Row],[Profit]]/Table1[[#This Row],[Sales_Amount]])*100</f>
        <v>32.33968299711816</v>
      </c>
      <c r="M788" s="4" t="str" cm="1">
        <f t="array" ref="M788">_xlfn.IFS(Table1[[#This Row],[Sales_Amount]]&gt;200000,"High",AND(Table1[[#This Row],[Sales_Amount]]&gt;100000,Table1[[#This Row],[Sales_Amount]]&lt;200000),"Medium",Table1[[#This Row],[Sales_Amount]]&lt;100000,"Low")</f>
        <v>Low</v>
      </c>
      <c r="N788" t="str">
        <f>TEXT(Table1[[#This Row],[Order_Date]],"MMMM")</f>
        <v>August</v>
      </c>
      <c r="O788">
        <f>YEAR(Table1[[#This Row],[Order_Date]])</f>
        <v>2027</v>
      </c>
    </row>
    <row r="789" spans="1:15" x14ac:dyDescent="0.3">
      <c r="A789" t="s">
        <v>820</v>
      </c>
      <c r="B789" s="1">
        <v>46608</v>
      </c>
      <c r="C789" t="s">
        <v>12</v>
      </c>
      <c r="D789" t="s">
        <v>34</v>
      </c>
      <c r="E789" t="s">
        <v>25</v>
      </c>
      <c r="F789" s="3">
        <v>4</v>
      </c>
      <c r="G789" s="4">
        <v>34575</v>
      </c>
      <c r="H789" s="4">
        <v>138300</v>
      </c>
      <c r="I789" s="4">
        <v>96979</v>
      </c>
      <c r="J789" s="4">
        <v>41321</v>
      </c>
      <c r="K789" t="s">
        <v>15</v>
      </c>
      <c r="L789" s="3">
        <f>(Table1[[#This Row],[Profit]]/Table1[[#This Row],[Sales_Amount]])*100</f>
        <v>29.877801879971077</v>
      </c>
      <c r="M789" s="4" t="str" cm="1">
        <f t="array" ref="M789">_xlfn.IFS(Table1[[#This Row],[Sales_Amount]]&gt;200000,"High",AND(Table1[[#This Row],[Sales_Amount]]&gt;100000,Table1[[#This Row],[Sales_Amount]]&lt;200000),"Medium",Table1[[#This Row],[Sales_Amount]]&lt;100000,"Low")</f>
        <v>Medium</v>
      </c>
      <c r="N789" t="str">
        <f>TEXT(Table1[[#This Row],[Order_Date]],"MMMM")</f>
        <v>August</v>
      </c>
      <c r="O789">
        <f>YEAR(Table1[[#This Row],[Order_Date]])</f>
        <v>2027</v>
      </c>
    </row>
    <row r="790" spans="1:15" x14ac:dyDescent="0.3">
      <c r="A790" t="s">
        <v>821</v>
      </c>
      <c r="B790" s="1">
        <v>46609</v>
      </c>
      <c r="C790" t="s">
        <v>17</v>
      </c>
      <c r="D790" t="s">
        <v>56</v>
      </c>
      <c r="E790" t="s">
        <v>14</v>
      </c>
      <c r="F790" s="3">
        <v>2</v>
      </c>
      <c r="G790" s="4">
        <v>1283</v>
      </c>
      <c r="H790" s="4">
        <v>2566</v>
      </c>
      <c r="I790" s="4">
        <v>1856.18</v>
      </c>
      <c r="J790" s="4">
        <v>709.82</v>
      </c>
      <c r="K790" t="s">
        <v>26</v>
      </c>
      <c r="L790" s="3">
        <f>(Table1[[#This Row],[Profit]]/Table1[[#This Row],[Sales_Amount]])*100</f>
        <v>27.662509742790338</v>
      </c>
      <c r="M790" s="4" t="str" cm="1">
        <f t="array" ref="M790">_xlfn.IFS(Table1[[#This Row],[Sales_Amount]]&gt;200000,"High",AND(Table1[[#This Row],[Sales_Amount]]&gt;100000,Table1[[#This Row],[Sales_Amount]]&lt;200000),"Medium",Table1[[#This Row],[Sales_Amount]]&lt;100000,"Low")</f>
        <v>Low</v>
      </c>
      <c r="N790" t="str">
        <f>TEXT(Table1[[#This Row],[Order_Date]],"MMMM")</f>
        <v>August</v>
      </c>
      <c r="O790">
        <f>YEAR(Table1[[#This Row],[Order_Date]])</f>
        <v>2027</v>
      </c>
    </row>
    <row r="791" spans="1:15" x14ac:dyDescent="0.3">
      <c r="A791" t="s">
        <v>822</v>
      </c>
      <c r="B791" s="1">
        <v>46610</v>
      </c>
      <c r="C791" t="s">
        <v>17</v>
      </c>
      <c r="D791" t="s">
        <v>29</v>
      </c>
      <c r="E791" t="s">
        <v>19</v>
      </c>
      <c r="F791" s="3">
        <v>5</v>
      </c>
      <c r="G791" s="4">
        <v>17008</v>
      </c>
      <c r="H791" s="4">
        <v>85040</v>
      </c>
      <c r="I791" s="4">
        <v>55949.85</v>
      </c>
      <c r="J791" s="4">
        <v>29090.15</v>
      </c>
      <c r="K791" t="s">
        <v>15</v>
      </c>
      <c r="L791" s="3">
        <f>(Table1[[#This Row],[Profit]]/Table1[[#This Row],[Sales_Amount]])*100</f>
        <v>34.207608184383822</v>
      </c>
      <c r="M791" s="4" t="str" cm="1">
        <f t="array" ref="M791">_xlfn.IFS(Table1[[#This Row],[Sales_Amount]]&gt;200000,"High",AND(Table1[[#This Row],[Sales_Amount]]&gt;100000,Table1[[#This Row],[Sales_Amount]]&lt;200000),"Medium",Table1[[#This Row],[Sales_Amount]]&lt;100000,"Low")</f>
        <v>Low</v>
      </c>
      <c r="N791" t="str">
        <f>TEXT(Table1[[#This Row],[Order_Date]],"MMMM")</f>
        <v>August</v>
      </c>
      <c r="O791">
        <f>YEAR(Table1[[#This Row],[Order_Date]])</f>
        <v>2027</v>
      </c>
    </row>
    <row r="792" spans="1:15" x14ac:dyDescent="0.3">
      <c r="A792" t="s">
        <v>823</v>
      </c>
      <c r="B792" s="1">
        <v>46611</v>
      </c>
      <c r="C792" t="s">
        <v>17</v>
      </c>
      <c r="D792" t="s">
        <v>29</v>
      </c>
      <c r="E792" t="s">
        <v>19</v>
      </c>
      <c r="F792" s="3">
        <v>4</v>
      </c>
      <c r="G792" s="4">
        <v>39781</v>
      </c>
      <c r="H792" s="4">
        <v>159124</v>
      </c>
      <c r="I792" s="4">
        <v>125934.69</v>
      </c>
      <c r="J792" s="4">
        <v>33189.31</v>
      </c>
      <c r="K792" t="s">
        <v>23</v>
      </c>
      <c r="L792" s="3">
        <f>(Table1[[#This Row],[Profit]]/Table1[[#This Row],[Sales_Amount]])*100</f>
        <v>20.857513637163468</v>
      </c>
      <c r="M792" s="4" t="str" cm="1">
        <f t="array" ref="M792">_xlfn.IFS(Table1[[#This Row],[Sales_Amount]]&gt;200000,"High",AND(Table1[[#This Row],[Sales_Amount]]&gt;100000,Table1[[#This Row],[Sales_Amount]]&lt;200000),"Medium",Table1[[#This Row],[Sales_Amount]]&lt;100000,"Low")</f>
        <v>Medium</v>
      </c>
      <c r="N792" t="str">
        <f>TEXT(Table1[[#This Row],[Order_Date]],"MMMM")</f>
        <v>August</v>
      </c>
      <c r="O792">
        <f>YEAR(Table1[[#This Row],[Order_Date]])</f>
        <v>2027</v>
      </c>
    </row>
    <row r="793" spans="1:15" x14ac:dyDescent="0.3">
      <c r="A793" t="s">
        <v>824</v>
      </c>
      <c r="B793" s="1">
        <v>46612</v>
      </c>
      <c r="C793" t="s">
        <v>12</v>
      </c>
      <c r="D793" t="s">
        <v>44</v>
      </c>
      <c r="E793" t="s">
        <v>19</v>
      </c>
      <c r="F793" s="3">
        <v>10</v>
      </c>
      <c r="G793" s="4">
        <v>12608</v>
      </c>
      <c r="H793" s="4">
        <v>126080</v>
      </c>
      <c r="I793" s="4">
        <v>109538.37</v>
      </c>
      <c r="J793" s="4">
        <v>16541.63</v>
      </c>
      <c r="K793" t="s">
        <v>26</v>
      </c>
      <c r="L793" s="3">
        <f>(Table1[[#This Row],[Profit]]/Table1[[#This Row],[Sales_Amount]])*100</f>
        <v>13.119947652284264</v>
      </c>
      <c r="M793" s="4" t="str" cm="1">
        <f t="array" ref="M793">_xlfn.IFS(Table1[[#This Row],[Sales_Amount]]&gt;200000,"High",AND(Table1[[#This Row],[Sales_Amount]]&gt;100000,Table1[[#This Row],[Sales_Amount]]&lt;200000),"Medium",Table1[[#This Row],[Sales_Amount]]&lt;100000,"Low")</f>
        <v>Medium</v>
      </c>
      <c r="N793" t="str">
        <f>TEXT(Table1[[#This Row],[Order_Date]],"MMMM")</f>
        <v>August</v>
      </c>
      <c r="O793">
        <f>YEAR(Table1[[#This Row],[Order_Date]])</f>
        <v>2027</v>
      </c>
    </row>
    <row r="794" spans="1:15" x14ac:dyDescent="0.3">
      <c r="A794" t="s">
        <v>825</v>
      </c>
      <c r="B794" s="1">
        <v>46613</v>
      </c>
      <c r="C794" t="s">
        <v>40</v>
      </c>
      <c r="D794" t="s">
        <v>21</v>
      </c>
      <c r="E794" t="s">
        <v>19</v>
      </c>
      <c r="F794" s="3">
        <v>2</v>
      </c>
      <c r="G794" s="4">
        <v>42363</v>
      </c>
      <c r="H794" s="4">
        <v>84726</v>
      </c>
      <c r="I794" s="4">
        <v>62361.14</v>
      </c>
      <c r="J794" s="4">
        <v>22364.86</v>
      </c>
      <c r="K794" t="s">
        <v>26</v>
      </c>
      <c r="L794" s="3">
        <f>(Table1[[#This Row],[Profit]]/Table1[[#This Row],[Sales_Amount]])*100</f>
        <v>26.396690508226516</v>
      </c>
      <c r="M794" s="4" t="str" cm="1">
        <f t="array" ref="M794">_xlfn.IFS(Table1[[#This Row],[Sales_Amount]]&gt;200000,"High",AND(Table1[[#This Row],[Sales_Amount]]&gt;100000,Table1[[#This Row],[Sales_Amount]]&lt;200000),"Medium",Table1[[#This Row],[Sales_Amount]]&lt;100000,"Low")</f>
        <v>Low</v>
      </c>
      <c r="N794" t="str">
        <f>TEXT(Table1[[#This Row],[Order_Date]],"MMMM")</f>
        <v>August</v>
      </c>
      <c r="O794">
        <f>YEAR(Table1[[#This Row],[Order_Date]])</f>
        <v>2027</v>
      </c>
    </row>
    <row r="795" spans="1:15" x14ac:dyDescent="0.3">
      <c r="A795" t="s">
        <v>826</v>
      </c>
      <c r="B795" s="1">
        <v>46614</v>
      </c>
      <c r="C795" t="s">
        <v>28</v>
      </c>
      <c r="D795" t="s">
        <v>21</v>
      </c>
      <c r="E795" t="s">
        <v>22</v>
      </c>
      <c r="F795" s="3">
        <v>2</v>
      </c>
      <c r="G795" s="4">
        <v>18672</v>
      </c>
      <c r="H795" s="4">
        <v>37344</v>
      </c>
      <c r="I795" s="4">
        <v>31112.47</v>
      </c>
      <c r="J795" s="4">
        <v>6231.53</v>
      </c>
      <c r="K795" t="s">
        <v>26</v>
      </c>
      <c r="L795" s="3">
        <f>(Table1[[#This Row],[Profit]]/Table1[[#This Row],[Sales_Amount]])*100</f>
        <v>16.68683054841474</v>
      </c>
      <c r="M795" s="4" t="str" cm="1">
        <f t="array" ref="M795">_xlfn.IFS(Table1[[#This Row],[Sales_Amount]]&gt;200000,"High",AND(Table1[[#This Row],[Sales_Amount]]&gt;100000,Table1[[#This Row],[Sales_Amount]]&lt;200000),"Medium",Table1[[#This Row],[Sales_Amount]]&lt;100000,"Low")</f>
        <v>Low</v>
      </c>
      <c r="N795" t="str">
        <f>TEXT(Table1[[#This Row],[Order_Date]],"MMMM")</f>
        <v>August</v>
      </c>
      <c r="O795">
        <f>YEAR(Table1[[#This Row],[Order_Date]])</f>
        <v>2027</v>
      </c>
    </row>
    <row r="796" spans="1:15" x14ac:dyDescent="0.3">
      <c r="A796" t="s">
        <v>827</v>
      </c>
      <c r="B796" s="1">
        <v>46615</v>
      </c>
      <c r="C796" t="s">
        <v>28</v>
      </c>
      <c r="D796" t="s">
        <v>51</v>
      </c>
      <c r="E796" t="s">
        <v>32</v>
      </c>
      <c r="F796" s="3">
        <v>5</v>
      </c>
      <c r="G796" s="4">
        <v>12160</v>
      </c>
      <c r="H796" s="4">
        <v>60800</v>
      </c>
      <c r="I796" s="4">
        <v>44516.08</v>
      </c>
      <c r="J796" s="4">
        <v>16283.92</v>
      </c>
      <c r="K796" t="s">
        <v>58</v>
      </c>
      <c r="L796" s="3">
        <f>(Table1[[#This Row],[Profit]]/Table1[[#This Row],[Sales_Amount]])*100</f>
        <v>26.782763157894735</v>
      </c>
      <c r="M796" s="4" t="str" cm="1">
        <f t="array" ref="M796">_xlfn.IFS(Table1[[#This Row],[Sales_Amount]]&gt;200000,"High",AND(Table1[[#This Row],[Sales_Amount]]&gt;100000,Table1[[#This Row],[Sales_Amount]]&lt;200000),"Medium",Table1[[#This Row],[Sales_Amount]]&lt;100000,"Low")</f>
        <v>Low</v>
      </c>
      <c r="N796" t="str">
        <f>TEXT(Table1[[#This Row],[Order_Date]],"MMMM")</f>
        <v>August</v>
      </c>
      <c r="O796">
        <f>YEAR(Table1[[#This Row],[Order_Date]])</f>
        <v>2027</v>
      </c>
    </row>
    <row r="797" spans="1:15" x14ac:dyDescent="0.3">
      <c r="A797" t="s">
        <v>828</v>
      </c>
      <c r="B797" s="1">
        <v>46616</v>
      </c>
      <c r="C797" t="s">
        <v>28</v>
      </c>
      <c r="D797" t="s">
        <v>51</v>
      </c>
      <c r="E797" t="s">
        <v>19</v>
      </c>
      <c r="F797" s="3">
        <v>8</v>
      </c>
      <c r="G797" s="4">
        <v>7606</v>
      </c>
      <c r="H797" s="4">
        <v>60848</v>
      </c>
      <c r="I797" s="4">
        <v>39135.11</v>
      </c>
      <c r="J797" s="4">
        <v>21712.89</v>
      </c>
      <c r="K797" t="s">
        <v>15</v>
      </c>
      <c r="L797" s="3">
        <f>(Table1[[#This Row],[Profit]]/Table1[[#This Row],[Sales_Amount]])*100</f>
        <v>35.683818695766497</v>
      </c>
      <c r="M797" s="4" t="str" cm="1">
        <f t="array" ref="M797">_xlfn.IFS(Table1[[#This Row],[Sales_Amount]]&gt;200000,"High",AND(Table1[[#This Row],[Sales_Amount]]&gt;100000,Table1[[#This Row],[Sales_Amount]]&lt;200000),"Medium",Table1[[#This Row],[Sales_Amount]]&lt;100000,"Low")</f>
        <v>Low</v>
      </c>
      <c r="N797" t="str">
        <f>TEXT(Table1[[#This Row],[Order_Date]],"MMMM")</f>
        <v>August</v>
      </c>
      <c r="O797">
        <f>YEAR(Table1[[#This Row],[Order_Date]])</f>
        <v>2027</v>
      </c>
    </row>
    <row r="798" spans="1:15" x14ac:dyDescent="0.3">
      <c r="A798" t="s">
        <v>829</v>
      </c>
      <c r="B798" s="1">
        <v>46617</v>
      </c>
      <c r="C798" t="s">
        <v>17</v>
      </c>
      <c r="D798" t="s">
        <v>44</v>
      </c>
      <c r="E798" t="s">
        <v>19</v>
      </c>
      <c r="F798" s="3">
        <v>5</v>
      </c>
      <c r="G798" s="4">
        <v>7269</v>
      </c>
      <c r="H798" s="4">
        <v>36345</v>
      </c>
      <c r="I798" s="4">
        <v>22187.11</v>
      </c>
      <c r="J798" s="4">
        <v>14157.89</v>
      </c>
      <c r="K798" t="s">
        <v>58</v>
      </c>
      <c r="L798" s="3">
        <f>(Table1[[#This Row],[Profit]]/Table1[[#This Row],[Sales_Amount]])*100</f>
        <v>38.954161507772731</v>
      </c>
      <c r="M798" s="4" t="str" cm="1">
        <f t="array" ref="M798">_xlfn.IFS(Table1[[#This Row],[Sales_Amount]]&gt;200000,"High",AND(Table1[[#This Row],[Sales_Amount]]&gt;100000,Table1[[#This Row],[Sales_Amount]]&lt;200000),"Medium",Table1[[#This Row],[Sales_Amount]]&lt;100000,"Low")</f>
        <v>Low</v>
      </c>
      <c r="N798" t="str">
        <f>TEXT(Table1[[#This Row],[Order_Date]],"MMMM")</f>
        <v>August</v>
      </c>
      <c r="O798">
        <f>YEAR(Table1[[#This Row],[Order_Date]])</f>
        <v>2027</v>
      </c>
    </row>
    <row r="799" spans="1:15" x14ac:dyDescent="0.3">
      <c r="A799" t="s">
        <v>830</v>
      </c>
      <c r="B799" s="1">
        <v>46618</v>
      </c>
      <c r="C799" t="s">
        <v>17</v>
      </c>
      <c r="D799" t="s">
        <v>21</v>
      </c>
      <c r="E799" t="s">
        <v>37</v>
      </c>
      <c r="F799" s="3">
        <v>3</v>
      </c>
      <c r="G799" s="4">
        <v>43286</v>
      </c>
      <c r="H799" s="4">
        <v>129858</v>
      </c>
      <c r="I799" s="4">
        <v>102860.6</v>
      </c>
      <c r="J799" s="4">
        <v>26997.4</v>
      </c>
      <c r="K799" t="s">
        <v>26</v>
      </c>
      <c r="L799" s="3">
        <f>(Table1[[#This Row],[Profit]]/Table1[[#This Row],[Sales_Amount]])*100</f>
        <v>20.789939780375487</v>
      </c>
      <c r="M799" s="4" t="str" cm="1">
        <f t="array" ref="M799">_xlfn.IFS(Table1[[#This Row],[Sales_Amount]]&gt;200000,"High",AND(Table1[[#This Row],[Sales_Amount]]&gt;100000,Table1[[#This Row],[Sales_Amount]]&lt;200000),"Medium",Table1[[#This Row],[Sales_Amount]]&lt;100000,"Low")</f>
        <v>Medium</v>
      </c>
      <c r="N799" t="str">
        <f>TEXT(Table1[[#This Row],[Order_Date]],"MMMM")</f>
        <v>August</v>
      </c>
      <c r="O799">
        <f>YEAR(Table1[[#This Row],[Order_Date]])</f>
        <v>2027</v>
      </c>
    </row>
    <row r="800" spans="1:15" x14ac:dyDescent="0.3">
      <c r="A800" t="s">
        <v>831</v>
      </c>
      <c r="B800" s="1">
        <v>46619</v>
      </c>
      <c r="C800" t="s">
        <v>28</v>
      </c>
      <c r="D800" t="s">
        <v>56</v>
      </c>
      <c r="E800" t="s">
        <v>19</v>
      </c>
      <c r="F800" s="3">
        <v>6</v>
      </c>
      <c r="G800" s="4">
        <v>26146</v>
      </c>
      <c r="H800" s="4">
        <v>156876</v>
      </c>
      <c r="I800" s="4">
        <v>121169.78</v>
      </c>
      <c r="J800" s="4">
        <v>35706.22</v>
      </c>
      <c r="K800" t="s">
        <v>58</v>
      </c>
      <c r="L800" s="3">
        <f>(Table1[[#This Row],[Profit]]/Table1[[#This Row],[Sales_Amount]])*100</f>
        <v>22.760791963079122</v>
      </c>
      <c r="M800" s="4" t="str" cm="1">
        <f t="array" ref="M800">_xlfn.IFS(Table1[[#This Row],[Sales_Amount]]&gt;200000,"High",AND(Table1[[#This Row],[Sales_Amount]]&gt;100000,Table1[[#This Row],[Sales_Amount]]&lt;200000),"Medium",Table1[[#This Row],[Sales_Amount]]&lt;100000,"Low")</f>
        <v>Medium</v>
      </c>
      <c r="N800" t="str">
        <f>TEXT(Table1[[#This Row],[Order_Date]],"MMMM")</f>
        <v>August</v>
      </c>
      <c r="O800">
        <f>YEAR(Table1[[#This Row],[Order_Date]])</f>
        <v>2027</v>
      </c>
    </row>
    <row r="801" spans="1:15" x14ac:dyDescent="0.3">
      <c r="A801" t="s">
        <v>832</v>
      </c>
      <c r="B801" s="1">
        <v>46620</v>
      </c>
      <c r="C801" t="s">
        <v>28</v>
      </c>
      <c r="D801" t="s">
        <v>56</v>
      </c>
      <c r="E801" t="s">
        <v>19</v>
      </c>
      <c r="F801" s="3">
        <v>2</v>
      </c>
      <c r="G801" s="4">
        <v>35897</v>
      </c>
      <c r="H801" s="4">
        <v>71794</v>
      </c>
      <c r="I801" s="4">
        <v>47940.73</v>
      </c>
      <c r="J801" s="4">
        <v>23853.27</v>
      </c>
      <c r="K801" t="s">
        <v>15</v>
      </c>
      <c r="L801" s="3">
        <f>(Table1[[#This Row],[Profit]]/Table1[[#This Row],[Sales_Amount]])*100</f>
        <v>33.224600941582864</v>
      </c>
      <c r="M801" s="4" t="str" cm="1">
        <f t="array" ref="M801">_xlfn.IFS(Table1[[#This Row],[Sales_Amount]]&gt;200000,"High",AND(Table1[[#This Row],[Sales_Amount]]&gt;100000,Table1[[#This Row],[Sales_Amount]]&lt;200000),"Medium",Table1[[#This Row],[Sales_Amount]]&lt;100000,"Low")</f>
        <v>Low</v>
      </c>
      <c r="N801" t="str">
        <f>TEXT(Table1[[#This Row],[Order_Date]],"MMMM")</f>
        <v>August</v>
      </c>
      <c r="O801">
        <f>YEAR(Table1[[#This Row],[Order_Date]])</f>
        <v>2027</v>
      </c>
    </row>
    <row r="802" spans="1:15" x14ac:dyDescent="0.3">
      <c r="A802" t="s">
        <v>833</v>
      </c>
      <c r="B802" s="1">
        <v>46621</v>
      </c>
      <c r="C802" t="s">
        <v>28</v>
      </c>
      <c r="D802" t="s">
        <v>18</v>
      </c>
      <c r="E802" t="s">
        <v>25</v>
      </c>
      <c r="F802" s="3">
        <v>6</v>
      </c>
      <c r="G802" s="4">
        <v>22352</v>
      </c>
      <c r="H802" s="4">
        <v>134112</v>
      </c>
      <c r="I802" s="4">
        <v>107899.91</v>
      </c>
      <c r="J802" s="4">
        <v>26212.09</v>
      </c>
      <c r="K802" t="s">
        <v>15</v>
      </c>
      <c r="L802" s="3">
        <f>(Table1[[#This Row],[Profit]]/Table1[[#This Row],[Sales_Amount]])*100</f>
        <v>19.54492513719876</v>
      </c>
      <c r="M802" s="4" t="str" cm="1">
        <f t="array" ref="M802">_xlfn.IFS(Table1[[#This Row],[Sales_Amount]]&gt;200000,"High",AND(Table1[[#This Row],[Sales_Amount]]&gt;100000,Table1[[#This Row],[Sales_Amount]]&lt;200000),"Medium",Table1[[#This Row],[Sales_Amount]]&lt;100000,"Low")</f>
        <v>Medium</v>
      </c>
      <c r="N802" t="str">
        <f>TEXT(Table1[[#This Row],[Order_Date]],"MMMM")</f>
        <v>August</v>
      </c>
      <c r="O802">
        <f>YEAR(Table1[[#This Row],[Order_Date]])</f>
        <v>2027</v>
      </c>
    </row>
    <row r="803" spans="1:15" x14ac:dyDescent="0.3">
      <c r="A803" t="s">
        <v>834</v>
      </c>
      <c r="B803" s="1">
        <v>46622</v>
      </c>
      <c r="C803" t="s">
        <v>40</v>
      </c>
      <c r="D803" t="s">
        <v>51</v>
      </c>
      <c r="E803" t="s">
        <v>25</v>
      </c>
      <c r="F803" s="3">
        <v>6</v>
      </c>
      <c r="G803" s="4">
        <v>5772</v>
      </c>
      <c r="H803" s="4">
        <v>34632</v>
      </c>
      <c r="I803" s="4">
        <v>29518.74</v>
      </c>
      <c r="J803" s="4">
        <v>5113.26</v>
      </c>
      <c r="K803" t="s">
        <v>23</v>
      </c>
      <c r="L803" s="3">
        <f>(Table1[[#This Row],[Profit]]/Table1[[#This Row],[Sales_Amount]])*100</f>
        <v>14.764553014553014</v>
      </c>
      <c r="M803" s="4" t="str" cm="1">
        <f t="array" ref="M803">_xlfn.IFS(Table1[[#This Row],[Sales_Amount]]&gt;200000,"High",AND(Table1[[#This Row],[Sales_Amount]]&gt;100000,Table1[[#This Row],[Sales_Amount]]&lt;200000),"Medium",Table1[[#This Row],[Sales_Amount]]&lt;100000,"Low")</f>
        <v>Low</v>
      </c>
      <c r="N803" t="str">
        <f>TEXT(Table1[[#This Row],[Order_Date]],"MMMM")</f>
        <v>August</v>
      </c>
      <c r="O803">
        <f>YEAR(Table1[[#This Row],[Order_Date]])</f>
        <v>2027</v>
      </c>
    </row>
    <row r="804" spans="1:15" x14ac:dyDescent="0.3">
      <c r="A804" t="s">
        <v>835</v>
      </c>
      <c r="B804" s="1">
        <v>46623</v>
      </c>
      <c r="C804" t="s">
        <v>28</v>
      </c>
      <c r="D804" t="s">
        <v>29</v>
      </c>
      <c r="E804" t="s">
        <v>14</v>
      </c>
      <c r="F804" s="3">
        <v>7</v>
      </c>
      <c r="G804" s="4">
        <v>43801</v>
      </c>
      <c r="H804" s="4">
        <v>306607</v>
      </c>
      <c r="I804" s="4">
        <v>201533.07</v>
      </c>
      <c r="J804" s="4">
        <v>105073.93</v>
      </c>
      <c r="K804" t="s">
        <v>26</v>
      </c>
      <c r="L804" s="3">
        <f>(Table1[[#This Row],[Profit]]/Table1[[#This Row],[Sales_Amount]])*100</f>
        <v>34.269905775145382</v>
      </c>
      <c r="M804" s="4" t="str" cm="1">
        <f t="array" ref="M804">_xlfn.IFS(Table1[[#This Row],[Sales_Amount]]&gt;200000,"High",AND(Table1[[#This Row],[Sales_Amount]]&gt;100000,Table1[[#This Row],[Sales_Amount]]&lt;200000),"Medium",Table1[[#This Row],[Sales_Amount]]&lt;100000,"Low")</f>
        <v>High</v>
      </c>
      <c r="N804" t="str">
        <f>TEXT(Table1[[#This Row],[Order_Date]],"MMMM")</f>
        <v>August</v>
      </c>
      <c r="O804">
        <f>YEAR(Table1[[#This Row],[Order_Date]])</f>
        <v>2027</v>
      </c>
    </row>
    <row r="805" spans="1:15" x14ac:dyDescent="0.3">
      <c r="A805" t="s">
        <v>836</v>
      </c>
      <c r="B805" s="1">
        <v>46624</v>
      </c>
      <c r="C805" t="s">
        <v>17</v>
      </c>
      <c r="D805" t="s">
        <v>51</v>
      </c>
      <c r="E805" t="s">
        <v>14</v>
      </c>
      <c r="F805" s="3">
        <v>8</v>
      </c>
      <c r="G805" s="4">
        <v>48690</v>
      </c>
      <c r="H805" s="4">
        <v>389520</v>
      </c>
      <c r="I805" s="4">
        <v>255852.06</v>
      </c>
      <c r="J805" s="4">
        <v>133667.94</v>
      </c>
      <c r="K805" t="s">
        <v>15</v>
      </c>
      <c r="L805" s="3">
        <f>(Table1[[#This Row],[Profit]]/Table1[[#This Row],[Sales_Amount]])*100</f>
        <v>34.316065927295128</v>
      </c>
      <c r="M805" s="4" t="str" cm="1">
        <f t="array" ref="M805">_xlfn.IFS(Table1[[#This Row],[Sales_Amount]]&gt;200000,"High",AND(Table1[[#This Row],[Sales_Amount]]&gt;100000,Table1[[#This Row],[Sales_Amount]]&lt;200000),"Medium",Table1[[#This Row],[Sales_Amount]]&lt;100000,"Low")</f>
        <v>High</v>
      </c>
      <c r="N805" t="str">
        <f>TEXT(Table1[[#This Row],[Order_Date]],"MMMM")</f>
        <v>August</v>
      </c>
      <c r="O805">
        <f>YEAR(Table1[[#This Row],[Order_Date]])</f>
        <v>2027</v>
      </c>
    </row>
    <row r="806" spans="1:15" x14ac:dyDescent="0.3">
      <c r="A806" t="s">
        <v>837</v>
      </c>
      <c r="B806" s="1">
        <v>46625</v>
      </c>
      <c r="C806" t="s">
        <v>40</v>
      </c>
      <c r="D806" t="s">
        <v>56</v>
      </c>
      <c r="E806" t="s">
        <v>22</v>
      </c>
      <c r="F806" s="3">
        <v>8</v>
      </c>
      <c r="G806" s="4">
        <v>25978</v>
      </c>
      <c r="H806" s="4">
        <v>207824</v>
      </c>
      <c r="I806" s="4">
        <v>128621.81</v>
      </c>
      <c r="J806" s="4">
        <v>79202.19</v>
      </c>
      <c r="K806" t="s">
        <v>58</v>
      </c>
      <c r="L806" s="3">
        <f>(Table1[[#This Row],[Profit]]/Table1[[#This Row],[Sales_Amount]])*100</f>
        <v>38.110223073369774</v>
      </c>
      <c r="M806" s="4" t="str" cm="1">
        <f t="array" ref="M806">_xlfn.IFS(Table1[[#This Row],[Sales_Amount]]&gt;200000,"High",AND(Table1[[#This Row],[Sales_Amount]]&gt;100000,Table1[[#This Row],[Sales_Amount]]&lt;200000),"Medium",Table1[[#This Row],[Sales_Amount]]&lt;100000,"Low")</f>
        <v>High</v>
      </c>
      <c r="N806" t="str">
        <f>TEXT(Table1[[#This Row],[Order_Date]],"MMMM")</f>
        <v>August</v>
      </c>
      <c r="O806">
        <f>YEAR(Table1[[#This Row],[Order_Date]])</f>
        <v>2027</v>
      </c>
    </row>
    <row r="807" spans="1:15" x14ac:dyDescent="0.3">
      <c r="A807" t="s">
        <v>838</v>
      </c>
      <c r="B807" s="1">
        <v>46626</v>
      </c>
      <c r="C807" t="s">
        <v>17</v>
      </c>
      <c r="D807" t="s">
        <v>21</v>
      </c>
      <c r="E807" t="s">
        <v>14</v>
      </c>
      <c r="F807" s="3">
        <v>6</v>
      </c>
      <c r="G807" s="4">
        <v>4173</v>
      </c>
      <c r="H807" s="4">
        <v>25038</v>
      </c>
      <c r="I807" s="4">
        <v>17559.54</v>
      </c>
      <c r="J807" s="4">
        <v>7478.46</v>
      </c>
      <c r="K807" t="s">
        <v>15</v>
      </c>
      <c r="L807" s="3">
        <f>(Table1[[#This Row],[Profit]]/Table1[[#This Row],[Sales_Amount]])*100</f>
        <v>29.86843997124371</v>
      </c>
      <c r="M807" s="4" t="str" cm="1">
        <f t="array" ref="M807">_xlfn.IFS(Table1[[#This Row],[Sales_Amount]]&gt;200000,"High",AND(Table1[[#This Row],[Sales_Amount]]&gt;100000,Table1[[#This Row],[Sales_Amount]]&lt;200000),"Medium",Table1[[#This Row],[Sales_Amount]]&lt;100000,"Low")</f>
        <v>Low</v>
      </c>
      <c r="N807" t="str">
        <f>TEXT(Table1[[#This Row],[Order_Date]],"MMMM")</f>
        <v>August</v>
      </c>
      <c r="O807">
        <f>YEAR(Table1[[#This Row],[Order_Date]])</f>
        <v>2027</v>
      </c>
    </row>
    <row r="808" spans="1:15" x14ac:dyDescent="0.3">
      <c r="A808" t="s">
        <v>839</v>
      </c>
      <c r="B808" s="1">
        <v>46627</v>
      </c>
      <c r="C808" t="s">
        <v>12</v>
      </c>
      <c r="D808" t="s">
        <v>51</v>
      </c>
      <c r="E808" t="s">
        <v>19</v>
      </c>
      <c r="F808" s="3">
        <v>9</v>
      </c>
      <c r="G808" s="4">
        <v>30539</v>
      </c>
      <c r="H808" s="4">
        <v>274851</v>
      </c>
      <c r="I808" s="4">
        <v>242425.99</v>
      </c>
      <c r="J808" s="4">
        <v>32425.01</v>
      </c>
      <c r="K808" t="s">
        <v>15</v>
      </c>
      <c r="L808" s="3">
        <f>(Table1[[#This Row],[Profit]]/Table1[[#This Row],[Sales_Amount]])*100</f>
        <v>11.797304721467267</v>
      </c>
      <c r="M808" s="4" t="str" cm="1">
        <f t="array" ref="M808">_xlfn.IFS(Table1[[#This Row],[Sales_Amount]]&gt;200000,"High",AND(Table1[[#This Row],[Sales_Amount]]&gt;100000,Table1[[#This Row],[Sales_Amount]]&lt;200000),"Medium",Table1[[#This Row],[Sales_Amount]]&lt;100000,"Low")</f>
        <v>High</v>
      </c>
      <c r="N808" t="str">
        <f>TEXT(Table1[[#This Row],[Order_Date]],"MMMM")</f>
        <v>August</v>
      </c>
      <c r="O808">
        <f>YEAR(Table1[[#This Row],[Order_Date]])</f>
        <v>2027</v>
      </c>
    </row>
    <row r="809" spans="1:15" x14ac:dyDescent="0.3">
      <c r="A809" t="s">
        <v>840</v>
      </c>
      <c r="B809" s="1">
        <v>46628</v>
      </c>
      <c r="C809" t="s">
        <v>28</v>
      </c>
      <c r="D809" t="s">
        <v>18</v>
      </c>
      <c r="E809" t="s">
        <v>19</v>
      </c>
      <c r="F809" s="3">
        <v>3</v>
      </c>
      <c r="G809" s="4">
        <v>32540</v>
      </c>
      <c r="H809" s="4">
        <v>97620</v>
      </c>
      <c r="I809" s="4">
        <v>77720.11</v>
      </c>
      <c r="J809" s="4">
        <v>19899.89</v>
      </c>
      <c r="K809" t="s">
        <v>23</v>
      </c>
      <c r="L809" s="3">
        <f>(Table1[[#This Row],[Profit]]/Table1[[#This Row],[Sales_Amount]])*100</f>
        <v>20.385054292153246</v>
      </c>
      <c r="M809" s="4" t="str" cm="1">
        <f t="array" ref="M809">_xlfn.IFS(Table1[[#This Row],[Sales_Amount]]&gt;200000,"High",AND(Table1[[#This Row],[Sales_Amount]]&gt;100000,Table1[[#This Row],[Sales_Amount]]&lt;200000),"Medium",Table1[[#This Row],[Sales_Amount]]&lt;100000,"Low")</f>
        <v>Low</v>
      </c>
      <c r="N809" t="str">
        <f>TEXT(Table1[[#This Row],[Order_Date]],"MMMM")</f>
        <v>August</v>
      </c>
      <c r="O809">
        <f>YEAR(Table1[[#This Row],[Order_Date]])</f>
        <v>2027</v>
      </c>
    </row>
    <row r="810" spans="1:15" x14ac:dyDescent="0.3">
      <c r="A810" t="s">
        <v>841</v>
      </c>
      <c r="B810" s="1">
        <v>46629</v>
      </c>
      <c r="C810" t="s">
        <v>17</v>
      </c>
      <c r="D810" t="s">
        <v>44</v>
      </c>
      <c r="E810" t="s">
        <v>19</v>
      </c>
      <c r="F810" s="3">
        <v>3</v>
      </c>
      <c r="G810" s="4">
        <v>1441</v>
      </c>
      <c r="H810" s="4">
        <v>4323</v>
      </c>
      <c r="I810" s="4">
        <v>2817.19</v>
      </c>
      <c r="J810" s="4">
        <v>1505.81</v>
      </c>
      <c r="K810" t="s">
        <v>15</v>
      </c>
      <c r="L810" s="3">
        <f>(Table1[[#This Row],[Profit]]/Table1[[#This Row],[Sales_Amount]])*100</f>
        <v>34.832523710386305</v>
      </c>
      <c r="M810" s="4" t="str" cm="1">
        <f t="array" ref="M810">_xlfn.IFS(Table1[[#This Row],[Sales_Amount]]&gt;200000,"High",AND(Table1[[#This Row],[Sales_Amount]]&gt;100000,Table1[[#This Row],[Sales_Amount]]&lt;200000),"Medium",Table1[[#This Row],[Sales_Amount]]&lt;100000,"Low")</f>
        <v>Low</v>
      </c>
      <c r="N810" t="str">
        <f>TEXT(Table1[[#This Row],[Order_Date]],"MMMM")</f>
        <v>August</v>
      </c>
      <c r="O810">
        <f>YEAR(Table1[[#This Row],[Order_Date]])</f>
        <v>2027</v>
      </c>
    </row>
    <row r="811" spans="1:15" x14ac:dyDescent="0.3">
      <c r="A811" t="s">
        <v>842</v>
      </c>
      <c r="B811" s="1">
        <v>46630</v>
      </c>
      <c r="C811" t="s">
        <v>17</v>
      </c>
      <c r="D811" t="s">
        <v>29</v>
      </c>
      <c r="E811" t="s">
        <v>25</v>
      </c>
      <c r="F811" s="3">
        <v>3</v>
      </c>
      <c r="G811" s="4">
        <v>39234</v>
      </c>
      <c r="H811" s="4">
        <v>117702</v>
      </c>
      <c r="I811" s="4">
        <v>72879.58</v>
      </c>
      <c r="J811" s="4">
        <v>44822.42</v>
      </c>
      <c r="K811" t="s">
        <v>58</v>
      </c>
      <c r="L811" s="3">
        <f>(Table1[[#This Row],[Profit]]/Table1[[#This Row],[Sales_Amount]])*100</f>
        <v>38.081273045487755</v>
      </c>
      <c r="M811" s="4" t="str" cm="1">
        <f t="array" ref="M811">_xlfn.IFS(Table1[[#This Row],[Sales_Amount]]&gt;200000,"High",AND(Table1[[#This Row],[Sales_Amount]]&gt;100000,Table1[[#This Row],[Sales_Amount]]&lt;200000),"Medium",Table1[[#This Row],[Sales_Amount]]&lt;100000,"Low")</f>
        <v>Medium</v>
      </c>
      <c r="N811" t="str">
        <f>TEXT(Table1[[#This Row],[Order_Date]],"MMMM")</f>
        <v>August</v>
      </c>
      <c r="O811">
        <f>YEAR(Table1[[#This Row],[Order_Date]])</f>
        <v>2027</v>
      </c>
    </row>
    <row r="812" spans="1:15" x14ac:dyDescent="0.3">
      <c r="A812" t="s">
        <v>843</v>
      </c>
      <c r="B812" s="1">
        <v>46631</v>
      </c>
      <c r="C812" t="s">
        <v>28</v>
      </c>
      <c r="D812" t="s">
        <v>34</v>
      </c>
      <c r="E812" t="s">
        <v>25</v>
      </c>
      <c r="F812" s="3">
        <v>4</v>
      </c>
      <c r="G812" s="4">
        <v>4635</v>
      </c>
      <c r="H812" s="4">
        <v>18540</v>
      </c>
      <c r="I812" s="4">
        <v>15598.37</v>
      </c>
      <c r="J812" s="4">
        <v>2941.63</v>
      </c>
      <c r="K812" t="s">
        <v>58</v>
      </c>
      <c r="L812" s="3">
        <f>(Table1[[#This Row],[Profit]]/Table1[[#This Row],[Sales_Amount]])*100</f>
        <v>15.866396979503778</v>
      </c>
      <c r="M812" s="4" t="str" cm="1">
        <f t="array" ref="M812">_xlfn.IFS(Table1[[#This Row],[Sales_Amount]]&gt;200000,"High",AND(Table1[[#This Row],[Sales_Amount]]&gt;100000,Table1[[#This Row],[Sales_Amount]]&lt;200000),"Medium",Table1[[#This Row],[Sales_Amount]]&lt;100000,"Low")</f>
        <v>Low</v>
      </c>
      <c r="N812" t="str">
        <f>TEXT(Table1[[#This Row],[Order_Date]],"MMMM")</f>
        <v>September</v>
      </c>
      <c r="O812">
        <f>YEAR(Table1[[#This Row],[Order_Date]])</f>
        <v>2027</v>
      </c>
    </row>
    <row r="813" spans="1:15" x14ac:dyDescent="0.3">
      <c r="A813" t="s">
        <v>844</v>
      </c>
      <c r="B813" s="1">
        <v>46632</v>
      </c>
      <c r="C813" t="s">
        <v>12</v>
      </c>
      <c r="D813" t="s">
        <v>18</v>
      </c>
      <c r="E813" t="s">
        <v>14</v>
      </c>
      <c r="F813" s="3">
        <v>10</v>
      </c>
      <c r="G813" s="4">
        <v>36275</v>
      </c>
      <c r="H813" s="4">
        <v>362750</v>
      </c>
      <c r="I813" s="4">
        <v>232594.87</v>
      </c>
      <c r="J813" s="4">
        <v>130155.13</v>
      </c>
      <c r="K813" t="s">
        <v>23</v>
      </c>
      <c r="L813" s="3">
        <f>(Table1[[#This Row],[Profit]]/Table1[[#This Row],[Sales_Amount]])*100</f>
        <v>35.880118538938667</v>
      </c>
      <c r="M813" s="4" t="str" cm="1">
        <f t="array" ref="M813">_xlfn.IFS(Table1[[#This Row],[Sales_Amount]]&gt;200000,"High",AND(Table1[[#This Row],[Sales_Amount]]&gt;100000,Table1[[#This Row],[Sales_Amount]]&lt;200000),"Medium",Table1[[#This Row],[Sales_Amount]]&lt;100000,"Low")</f>
        <v>High</v>
      </c>
      <c r="N813" t="str">
        <f>TEXT(Table1[[#This Row],[Order_Date]],"MMMM")</f>
        <v>September</v>
      </c>
      <c r="O813">
        <f>YEAR(Table1[[#This Row],[Order_Date]])</f>
        <v>2027</v>
      </c>
    </row>
    <row r="814" spans="1:15" x14ac:dyDescent="0.3">
      <c r="A814" t="s">
        <v>845</v>
      </c>
      <c r="B814" s="1">
        <v>46633</v>
      </c>
      <c r="C814" t="s">
        <v>28</v>
      </c>
      <c r="D814" t="s">
        <v>13</v>
      </c>
      <c r="E814" t="s">
        <v>14</v>
      </c>
      <c r="F814" s="3">
        <v>2</v>
      </c>
      <c r="G814" s="4">
        <v>18449</v>
      </c>
      <c r="H814" s="4">
        <v>36898</v>
      </c>
      <c r="I814" s="4">
        <v>23702.21</v>
      </c>
      <c r="J814" s="4">
        <v>13195.79</v>
      </c>
      <c r="K814" t="s">
        <v>26</v>
      </c>
      <c r="L814" s="3">
        <f>(Table1[[#This Row],[Profit]]/Table1[[#This Row],[Sales_Amount]])*100</f>
        <v>35.762886877337529</v>
      </c>
      <c r="M814" s="4" t="str" cm="1">
        <f t="array" ref="M814">_xlfn.IFS(Table1[[#This Row],[Sales_Amount]]&gt;200000,"High",AND(Table1[[#This Row],[Sales_Amount]]&gt;100000,Table1[[#This Row],[Sales_Amount]]&lt;200000),"Medium",Table1[[#This Row],[Sales_Amount]]&lt;100000,"Low")</f>
        <v>Low</v>
      </c>
      <c r="N814" t="str">
        <f>TEXT(Table1[[#This Row],[Order_Date]],"MMMM")</f>
        <v>September</v>
      </c>
      <c r="O814">
        <f>YEAR(Table1[[#This Row],[Order_Date]])</f>
        <v>2027</v>
      </c>
    </row>
    <row r="815" spans="1:15" x14ac:dyDescent="0.3">
      <c r="A815" t="s">
        <v>846</v>
      </c>
      <c r="B815" s="1">
        <v>46634</v>
      </c>
      <c r="C815" t="s">
        <v>17</v>
      </c>
      <c r="D815" t="s">
        <v>13</v>
      </c>
      <c r="E815" t="s">
        <v>22</v>
      </c>
      <c r="F815" s="3">
        <v>8</v>
      </c>
      <c r="G815" s="4">
        <v>16467</v>
      </c>
      <c r="H815" s="4">
        <v>131736</v>
      </c>
      <c r="I815" s="4">
        <v>115625.04</v>
      </c>
      <c r="J815" s="4">
        <v>16110.96</v>
      </c>
      <c r="K815" t="s">
        <v>15</v>
      </c>
      <c r="L815" s="3">
        <f>(Table1[[#This Row],[Profit]]/Table1[[#This Row],[Sales_Amount]])*100</f>
        <v>12.229732191656039</v>
      </c>
      <c r="M815" s="4" t="str" cm="1">
        <f t="array" ref="M815">_xlfn.IFS(Table1[[#This Row],[Sales_Amount]]&gt;200000,"High",AND(Table1[[#This Row],[Sales_Amount]]&gt;100000,Table1[[#This Row],[Sales_Amount]]&lt;200000),"Medium",Table1[[#This Row],[Sales_Amount]]&lt;100000,"Low")</f>
        <v>Medium</v>
      </c>
      <c r="N815" t="str">
        <f>TEXT(Table1[[#This Row],[Order_Date]],"MMMM")</f>
        <v>September</v>
      </c>
      <c r="O815">
        <f>YEAR(Table1[[#This Row],[Order_Date]])</f>
        <v>2027</v>
      </c>
    </row>
    <row r="816" spans="1:15" x14ac:dyDescent="0.3">
      <c r="A816" t="s">
        <v>847</v>
      </c>
      <c r="B816" s="1">
        <v>46635</v>
      </c>
      <c r="C816" t="s">
        <v>28</v>
      </c>
      <c r="D816" t="s">
        <v>29</v>
      </c>
      <c r="E816" t="s">
        <v>25</v>
      </c>
      <c r="F816" s="3">
        <v>7</v>
      </c>
      <c r="G816" s="4">
        <v>10838</v>
      </c>
      <c r="H816" s="4">
        <v>75866</v>
      </c>
      <c r="I816" s="4">
        <v>45875.34</v>
      </c>
      <c r="J816" s="4">
        <v>29990.66</v>
      </c>
      <c r="K816" t="s">
        <v>15</v>
      </c>
      <c r="L816" s="3">
        <f>(Table1[[#This Row],[Profit]]/Table1[[#This Row],[Sales_Amount]])*100</f>
        <v>39.53109429784093</v>
      </c>
      <c r="M816" s="4" t="str" cm="1">
        <f t="array" ref="M816">_xlfn.IFS(Table1[[#This Row],[Sales_Amount]]&gt;200000,"High",AND(Table1[[#This Row],[Sales_Amount]]&gt;100000,Table1[[#This Row],[Sales_Amount]]&lt;200000),"Medium",Table1[[#This Row],[Sales_Amount]]&lt;100000,"Low")</f>
        <v>Low</v>
      </c>
      <c r="N816" t="str">
        <f>TEXT(Table1[[#This Row],[Order_Date]],"MMMM")</f>
        <v>September</v>
      </c>
      <c r="O816">
        <f>YEAR(Table1[[#This Row],[Order_Date]])</f>
        <v>2027</v>
      </c>
    </row>
    <row r="817" spans="1:15" x14ac:dyDescent="0.3">
      <c r="A817" t="s">
        <v>848</v>
      </c>
      <c r="B817" s="1">
        <v>46636</v>
      </c>
      <c r="C817" t="s">
        <v>40</v>
      </c>
      <c r="D817" t="s">
        <v>21</v>
      </c>
      <c r="E817" t="s">
        <v>22</v>
      </c>
      <c r="F817" s="3">
        <v>2</v>
      </c>
      <c r="G817" s="4">
        <v>46816</v>
      </c>
      <c r="H817" s="4">
        <v>93632</v>
      </c>
      <c r="I817" s="4">
        <v>74486.759999999995</v>
      </c>
      <c r="J817" s="4">
        <v>19145.240000000002</v>
      </c>
      <c r="K817" t="s">
        <v>58</v>
      </c>
      <c r="L817" s="3">
        <f>(Table1[[#This Row],[Profit]]/Table1[[#This Row],[Sales_Amount]])*100</f>
        <v>20.447325700615178</v>
      </c>
      <c r="M817" s="4" t="str" cm="1">
        <f t="array" ref="M817">_xlfn.IFS(Table1[[#This Row],[Sales_Amount]]&gt;200000,"High",AND(Table1[[#This Row],[Sales_Amount]]&gt;100000,Table1[[#This Row],[Sales_Amount]]&lt;200000),"Medium",Table1[[#This Row],[Sales_Amount]]&lt;100000,"Low")</f>
        <v>Low</v>
      </c>
      <c r="N817" t="str">
        <f>TEXT(Table1[[#This Row],[Order_Date]],"MMMM")</f>
        <v>September</v>
      </c>
      <c r="O817">
        <f>YEAR(Table1[[#This Row],[Order_Date]])</f>
        <v>2027</v>
      </c>
    </row>
    <row r="818" spans="1:15" x14ac:dyDescent="0.3">
      <c r="A818" t="s">
        <v>849</v>
      </c>
      <c r="B818" s="1">
        <v>46637</v>
      </c>
      <c r="C818" t="s">
        <v>28</v>
      </c>
      <c r="D818" t="s">
        <v>21</v>
      </c>
      <c r="E818" t="s">
        <v>22</v>
      </c>
      <c r="F818" s="3">
        <v>4</v>
      </c>
      <c r="G818" s="4">
        <v>9877</v>
      </c>
      <c r="H818" s="4">
        <v>39508</v>
      </c>
      <c r="I818" s="4">
        <v>31288.27</v>
      </c>
      <c r="J818" s="4">
        <v>8219.73</v>
      </c>
      <c r="K818" t="s">
        <v>23</v>
      </c>
      <c r="L818" s="3">
        <f>(Table1[[#This Row],[Profit]]/Table1[[#This Row],[Sales_Amount]])*100</f>
        <v>20.805229320643921</v>
      </c>
      <c r="M818" s="4" t="str" cm="1">
        <f t="array" ref="M818">_xlfn.IFS(Table1[[#This Row],[Sales_Amount]]&gt;200000,"High",AND(Table1[[#This Row],[Sales_Amount]]&gt;100000,Table1[[#This Row],[Sales_Amount]]&lt;200000),"Medium",Table1[[#This Row],[Sales_Amount]]&lt;100000,"Low")</f>
        <v>Low</v>
      </c>
      <c r="N818" t="str">
        <f>TEXT(Table1[[#This Row],[Order_Date]],"MMMM")</f>
        <v>September</v>
      </c>
      <c r="O818">
        <f>YEAR(Table1[[#This Row],[Order_Date]])</f>
        <v>2027</v>
      </c>
    </row>
    <row r="819" spans="1:15" x14ac:dyDescent="0.3">
      <c r="A819" t="s">
        <v>850</v>
      </c>
      <c r="B819" s="1">
        <v>46638</v>
      </c>
      <c r="C819" t="s">
        <v>28</v>
      </c>
      <c r="D819" t="s">
        <v>29</v>
      </c>
      <c r="E819" t="s">
        <v>25</v>
      </c>
      <c r="F819" s="3">
        <v>1</v>
      </c>
      <c r="G819" s="4">
        <v>39577</v>
      </c>
      <c r="H819" s="4">
        <v>39577</v>
      </c>
      <c r="I819" s="4">
        <v>25883.360000000001</v>
      </c>
      <c r="J819" s="4">
        <v>13693.64</v>
      </c>
      <c r="K819" t="s">
        <v>26</v>
      </c>
      <c r="L819" s="3">
        <f>(Table1[[#This Row],[Profit]]/Table1[[#This Row],[Sales_Amount]])*100</f>
        <v>34.599994946559868</v>
      </c>
      <c r="M819" s="4" t="str" cm="1">
        <f t="array" ref="M819">_xlfn.IFS(Table1[[#This Row],[Sales_Amount]]&gt;200000,"High",AND(Table1[[#This Row],[Sales_Amount]]&gt;100000,Table1[[#This Row],[Sales_Amount]]&lt;200000),"Medium",Table1[[#This Row],[Sales_Amount]]&lt;100000,"Low")</f>
        <v>Low</v>
      </c>
      <c r="N819" t="str">
        <f>TEXT(Table1[[#This Row],[Order_Date]],"MMMM")</f>
        <v>September</v>
      </c>
      <c r="O819">
        <f>YEAR(Table1[[#This Row],[Order_Date]])</f>
        <v>2027</v>
      </c>
    </row>
    <row r="820" spans="1:15" x14ac:dyDescent="0.3">
      <c r="A820" t="s">
        <v>851</v>
      </c>
      <c r="B820" s="1">
        <v>46639</v>
      </c>
      <c r="C820" t="s">
        <v>17</v>
      </c>
      <c r="D820" t="s">
        <v>29</v>
      </c>
      <c r="E820" t="s">
        <v>37</v>
      </c>
      <c r="F820" s="3">
        <v>1</v>
      </c>
      <c r="G820" s="4">
        <v>37050</v>
      </c>
      <c r="H820" s="4">
        <v>37050</v>
      </c>
      <c r="I820" s="4">
        <v>24849.13</v>
      </c>
      <c r="J820" s="4">
        <v>12200.87</v>
      </c>
      <c r="K820" t="s">
        <v>26</v>
      </c>
      <c r="L820" s="3">
        <f>(Table1[[#This Row],[Profit]]/Table1[[#This Row],[Sales_Amount]])*100</f>
        <v>32.930823211875847</v>
      </c>
      <c r="M820" s="4" t="str" cm="1">
        <f t="array" ref="M820">_xlfn.IFS(Table1[[#This Row],[Sales_Amount]]&gt;200000,"High",AND(Table1[[#This Row],[Sales_Amount]]&gt;100000,Table1[[#This Row],[Sales_Amount]]&lt;200000),"Medium",Table1[[#This Row],[Sales_Amount]]&lt;100000,"Low")</f>
        <v>Low</v>
      </c>
      <c r="N820" t="str">
        <f>TEXT(Table1[[#This Row],[Order_Date]],"MMMM")</f>
        <v>September</v>
      </c>
      <c r="O820">
        <f>YEAR(Table1[[#This Row],[Order_Date]])</f>
        <v>2027</v>
      </c>
    </row>
    <row r="821" spans="1:15" x14ac:dyDescent="0.3">
      <c r="A821" t="s">
        <v>852</v>
      </c>
      <c r="B821" s="1">
        <v>46640</v>
      </c>
      <c r="C821" t="s">
        <v>12</v>
      </c>
      <c r="D821" t="s">
        <v>44</v>
      </c>
      <c r="E821" t="s">
        <v>25</v>
      </c>
      <c r="F821" s="3">
        <v>4</v>
      </c>
      <c r="G821" s="4">
        <v>30922</v>
      </c>
      <c r="H821" s="4">
        <v>123688</v>
      </c>
      <c r="I821" s="4">
        <v>102797.02</v>
      </c>
      <c r="J821" s="4">
        <v>20890.98</v>
      </c>
      <c r="K821" t="s">
        <v>15</v>
      </c>
      <c r="L821" s="3">
        <f>(Table1[[#This Row],[Profit]]/Table1[[#This Row],[Sales_Amount]])*100</f>
        <v>16.890062091714636</v>
      </c>
      <c r="M821" s="4" t="str" cm="1">
        <f t="array" ref="M821">_xlfn.IFS(Table1[[#This Row],[Sales_Amount]]&gt;200000,"High",AND(Table1[[#This Row],[Sales_Amount]]&gt;100000,Table1[[#This Row],[Sales_Amount]]&lt;200000),"Medium",Table1[[#This Row],[Sales_Amount]]&lt;100000,"Low")</f>
        <v>Medium</v>
      </c>
      <c r="N821" t="str">
        <f>TEXT(Table1[[#This Row],[Order_Date]],"MMMM")</f>
        <v>September</v>
      </c>
      <c r="O821">
        <f>YEAR(Table1[[#This Row],[Order_Date]])</f>
        <v>2027</v>
      </c>
    </row>
    <row r="822" spans="1:15" x14ac:dyDescent="0.3">
      <c r="A822" t="s">
        <v>853</v>
      </c>
      <c r="B822" s="1">
        <v>46641</v>
      </c>
      <c r="C822" t="s">
        <v>28</v>
      </c>
      <c r="D822" t="s">
        <v>56</v>
      </c>
      <c r="E822" t="s">
        <v>14</v>
      </c>
      <c r="F822" s="3">
        <v>3</v>
      </c>
      <c r="G822" s="4">
        <v>45408</v>
      </c>
      <c r="H822" s="4">
        <v>136224</v>
      </c>
      <c r="I822" s="4">
        <v>116217.4</v>
      </c>
      <c r="J822" s="4">
        <v>20006.599999999999</v>
      </c>
      <c r="K822" t="s">
        <v>23</v>
      </c>
      <c r="L822" s="3">
        <f>(Table1[[#This Row],[Profit]]/Table1[[#This Row],[Sales_Amount]])*100</f>
        <v>14.686545689452664</v>
      </c>
      <c r="M822" s="4" t="str" cm="1">
        <f t="array" ref="M822">_xlfn.IFS(Table1[[#This Row],[Sales_Amount]]&gt;200000,"High",AND(Table1[[#This Row],[Sales_Amount]]&gt;100000,Table1[[#This Row],[Sales_Amount]]&lt;200000),"Medium",Table1[[#This Row],[Sales_Amount]]&lt;100000,"Low")</f>
        <v>Medium</v>
      </c>
      <c r="N822" t="str">
        <f>TEXT(Table1[[#This Row],[Order_Date]],"MMMM")</f>
        <v>September</v>
      </c>
      <c r="O822">
        <f>YEAR(Table1[[#This Row],[Order_Date]])</f>
        <v>2027</v>
      </c>
    </row>
    <row r="823" spans="1:15" x14ac:dyDescent="0.3">
      <c r="A823" t="s">
        <v>854</v>
      </c>
      <c r="B823" s="1">
        <v>46642</v>
      </c>
      <c r="C823" t="s">
        <v>40</v>
      </c>
      <c r="D823" t="s">
        <v>51</v>
      </c>
      <c r="E823" t="s">
        <v>19</v>
      </c>
      <c r="F823" s="3">
        <v>1</v>
      </c>
      <c r="G823" s="4">
        <v>4040</v>
      </c>
      <c r="H823" s="4">
        <v>4040</v>
      </c>
      <c r="I823" s="4">
        <v>3205.57</v>
      </c>
      <c r="J823" s="4">
        <v>834.43</v>
      </c>
      <c r="K823" t="s">
        <v>58</v>
      </c>
      <c r="L823" s="3">
        <f>(Table1[[#This Row],[Profit]]/Table1[[#This Row],[Sales_Amount]])*100</f>
        <v>20.654207920792079</v>
      </c>
      <c r="M823" s="4" t="str" cm="1">
        <f t="array" ref="M823">_xlfn.IFS(Table1[[#This Row],[Sales_Amount]]&gt;200000,"High",AND(Table1[[#This Row],[Sales_Amount]]&gt;100000,Table1[[#This Row],[Sales_Amount]]&lt;200000),"Medium",Table1[[#This Row],[Sales_Amount]]&lt;100000,"Low")</f>
        <v>Low</v>
      </c>
      <c r="N823" t="str">
        <f>TEXT(Table1[[#This Row],[Order_Date]],"MMMM")</f>
        <v>September</v>
      </c>
      <c r="O823">
        <f>YEAR(Table1[[#This Row],[Order_Date]])</f>
        <v>2027</v>
      </c>
    </row>
    <row r="824" spans="1:15" x14ac:dyDescent="0.3">
      <c r="A824" t="s">
        <v>855</v>
      </c>
      <c r="B824" s="1">
        <v>46643</v>
      </c>
      <c r="C824" t="s">
        <v>17</v>
      </c>
      <c r="D824" t="s">
        <v>13</v>
      </c>
      <c r="E824" t="s">
        <v>32</v>
      </c>
      <c r="F824" s="3">
        <v>10</v>
      </c>
      <c r="G824" s="4">
        <v>30197</v>
      </c>
      <c r="H824" s="4">
        <v>301970</v>
      </c>
      <c r="I824" s="4">
        <v>185106.17</v>
      </c>
      <c r="J824" s="4">
        <v>116863.83</v>
      </c>
      <c r="K824" t="s">
        <v>23</v>
      </c>
      <c r="L824" s="3">
        <f>(Table1[[#This Row],[Profit]]/Table1[[#This Row],[Sales_Amount]])*100</f>
        <v>38.700476868563108</v>
      </c>
      <c r="M824" s="4" t="str" cm="1">
        <f t="array" ref="M824">_xlfn.IFS(Table1[[#This Row],[Sales_Amount]]&gt;200000,"High",AND(Table1[[#This Row],[Sales_Amount]]&gt;100000,Table1[[#This Row],[Sales_Amount]]&lt;200000),"Medium",Table1[[#This Row],[Sales_Amount]]&lt;100000,"Low")</f>
        <v>High</v>
      </c>
      <c r="N824" t="str">
        <f>TEXT(Table1[[#This Row],[Order_Date]],"MMMM")</f>
        <v>September</v>
      </c>
      <c r="O824">
        <f>YEAR(Table1[[#This Row],[Order_Date]])</f>
        <v>2027</v>
      </c>
    </row>
    <row r="825" spans="1:15" x14ac:dyDescent="0.3">
      <c r="A825" t="s">
        <v>856</v>
      </c>
      <c r="B825" s="1">
        <v>46644</v>
      </c>
      <c r="C825" t="s">
        <v>12</v>
      </c>
      <c r="D825" t="s">
        <v>56</v>
      </c>
      <c r="E825" t="s">
        <v>37</v>
      </c>
      <c r="F825" s="3">
        <v>9</v>
      </c>
      <c r="G825" s="4">
        <v>8106</v>
      </c>
      <c r="H825" s="4">
        <v>72954</v>
      </c>
      <c r="I825" s="4">
        <v>45323.25</v>
      </c>
      <c r="J825" s="4">
        <v>27630.75</v>
      </c>
      <c r="K825" t="s">
        <v>26</v>
      </c>
      <c r="L825" s="3">
        <f>(Table1[[#This Row],[Profit]]/Table1[[#This Row],[Sales_Amount]])*100</f>
        <v>37.874208405296486</v>
      </c>
      <c r="M825" s="4" t="str" cm="1">
        <f t="array" ref="M825">_xlfn.IFS(Table1[[#This Row],[Sales_Amount]]&gt;200000,"High",AND(Table1[[#This Row],[Sales_Amount]]&gt;100000,Table1[[#This Row],[Sales_Amount]]&lt;200000),"Medium",Table1[[#This Row],[Sales_Amount]]&lt;100000,"Low")</f>
        <v>Low</v>
      </c>
      <c r="N825" t="str">
        <f>TEXT(Table1[[#This Row],[Order_Date]],"MMMM")</f>
        <v>September</v>
      </c>
      <c r="O825">
        <f>YEAR(Table1[[#This Row],[Order_Date]])</f>
        <v>2027</v>
      </c>
    </row>
    <row r="826" spans="1:15" x14ac:dyDescent="0.3">
      <c r="A826" t="s">
        <v>857</v>
      </c>
      <c r="B826" s="1">
        <v>46645</v>
      </c>
      <c r="C826" t="s">
        <v>40</v>
      </c>
      <c r="D826" t="s">
        <v>51</v>
      </c>
      <c r="E826" t="s">
        <v>22</v>
      </c>
      <c r="F826" s="3">
        <v>6</v>
      </c>
      <c r="G826" s="4">
        <v>15577</v>
      </c>
      <c r="H826" s="4">
        <v>93462</v>
      </c>
      <c r="I826" s="4">
        <v>77918.58</v>
      </c>
      <c r="J826" s="4">
        <v>15543.42</v>
      </c>
      <c r="K826" t="s">
        <v>15</v>
      </c>
      <c r="L826" s="3">
        <f>(Table1[[#This Row],[Profit]]/Table1[[#This Row],[Sales_Amount]])*100</f>
        <v>16.630737625987031</v>
      </c>
      <c r="M826" s="4" t="str" cm="1">
        <f t="array" ref="M826">_xlfn.IFS(Table1[[#This Row],[Sales_Amount]]&gt;200000,"High",AND(Table1[[#This Row],[Sales_Amount]]&gt;100000,Table1[[#This Row],[Sales_Amount]]&lt;200000),"Medium",Table1[[#This Row],[Sales_Amount]]&lt;100000,"Low")</f>
        <v>Low</v>
      </c>
      <c r="N826" t="str">
        <f>TEXT(Table1[[#This Row],[Order_Date]],"MMMM")</f>
        <v>September</v>
      </c>
      <c r="O826">
        <f>YEAR(Table1[[#This Row],[Order_Date]])</f>
        <v>2027</v>
      </c>
    </row>
    <row r="827" spans="1:15" x14ac:dyDescent="0.3">
      <c r="A827" t="s">
        <v>858</v>
      </c>
      <c r="B827" s="1">
        <v>46646</v>
      </c>
      <c r="C827" t="s">
        <v>12</v>
      </c>
      <c r="D827" t="s">
        <v>29</v>
      </c>
      <c r="E827" t="s">
        <v>19</v>
      </c>
      <c r="F827" s="3">
        <v>7</v>
      </c>
      <c r="G827" s="4">
        <v>13604</v>
      </c>
      <c r="H827" s="4">
        <v>95228</v>
      </c>
      <c r="I827" s="4">
        <v>67865.16</v>
      </c>
      <c r="J827" s="4">
        <v>27362.84</v>
      </c>
      <c r="K827" t="s">
        <v>58</v>
      </c>
      <c r="L827" s="3">
        <f>(Table1[[#This Row],[Profit]]/Table1[[#This Row],[Sales_Amount]])*100</f>
        <v>28.734027806947537</v>
      </c>
      <c r="M827" s="4" t="str" cm="1">
        <f t="array" ref="M827">_xlfn.IFS(Table1[[#This Row],[Sales_Amount]]&gt;200000,"High",AND(Table1[[#This Row],[Sales_Amount]]&gt;100000,Table1[[#This Row],[Sales_Amount]]&lt;200000),"Medium",Table1[[#This Row],[Sales_Amount]]&lt;100000,"Low")</f>
        <v>Low</v>
      </c>
      <c r="N827" t="str">
        <f>TEXT(Table1[[#This Row],[Order_Date]],"MMMM")</f>
        <v>September</v>
      </c>
      <c r="O827">
        <f>YEAR(Table1[[#This Row],[Order_Date]])</f>
        <v>2027</v>
      </c>
    </row>
    <row r="828" spans="1:15" x14ac:dyDescent="0.3">
      <c r="A828" t="s">
        <v>859</v>
      </c>
      <c r="B828" s="1">
        <v>46647</v>
      </c>
      <c r="C828" t="s">
        <v>28</v>
      </c>
      <c r="D828" t="s">
        <v>13</v>
      </c>
      <c r="E828" t="s">
        <v>37</v>
      </c>
      <c r="F828" s="3">
        <v>1</v>
      </c>
      <c r="G828" s="4">
        <v>29064</v>
      </c>
      <c r="H828" s="4">
        <v>29064</v>
      </c>
      <c r="I828" s="4">
        <v>18702.169999999998</v>
      </c>
      <c r="J828" s="4">
        <v>10361.83</v>
      </c>
      <c r="K828" t="s">
        <v>58</v>
      </c>
      <c r="L828" s="3">
        <f>(Table1[[#This Row],[Profit]]/Table1[[#This Row],[Sales_Amount]])*100</f>
        <v>35.651768510872557</v>
      </c>
      <c r="M828" s="4" t="str" cm="1">
        <f t="array" ref="M828">_xlfn.IFS(Table1[[#This Row],[Sales_Amount]]&gt;200000,"High",AND(Table1[[#This Row],[Sales_Amount]]&gt;100000,Table1[[#This Row],[Sales_Amount]]&lt;200000),"Medium",Table1[[#This Row],[Sales_Amount]]&lt;100000,"Low")</f>
        <v>Low</v>
      </c>
      <c r="N828" t="str">
        <f>TEXT(Table1[[#This Row],[Order_Date]],"MMMM")</f>
        <v>September</v>
      </c>
      <c r="O828">
        <f>YEAR(Table1[[#This Row],[Order_Date]])</f>
        <v>2027</v>
      </c>
    </row>
    <row r="829" spans="1:15" x14ac:dyDescent="0.3">
      <c r="A829" t="s">
        <v>860</v>
      </c>
      <c r="B829" s="1">
        <v>46648</v>
      </c>
      <c r="C829" t="s">
        <v>40</v>
      </c>
      <c r="D829" t="s">
        <v>44</v>
      </c>
      <c r="E829" t="s">
        <v>22</v>
      </c>
      <c r="F829" s="3">
        <v>8</v>
      </c>
      <c r="G829" s="4">
        <v>47674</v>
      </c>
      <c r="H829" s="4">
        <v>381392</v>
      </c>
      <c r="I829" s="4">
        <v>251049.94</v>
      </c>
      <c r="J829" s="4">
        <v>130342.06</v>
      </c>
      <c r="K829" t="s">
        <v>23</v>
      </c>
      <c r="L829" s="3">
        <f>(Table1[[#This Row],[Profit]]/Table1[[#This Row],[Sales_Amount]])*100</f>
        <v>34.175352393338088</v>
      </c>
      <c r="M829" s="4" t="str" cm="1">
        <f t="array" ref="M829">_xlfn.IFS(Table1[[#This Row],[Sales_Amount]]&gt;200000,"High",AND(Table1[[#This Row],[Sales_Amount]]&gt;100000,Table1[[#This Row],[Sales_Amount]]&lt;200000),"Medium",Table1[[#This Row],[Sales_Amount]]&lt;100000,"Low")</f>
        <v>High</v>
      </c>
      <c r="N829" t="str">
        <f>TEXT(Table1[[#This Row],[Order_Date]],"MMMM")</f>
        <v>September</v>
      </c>
      <c r="O829">
        <f>YEAR(Table1[[#This Row],[Order_Date]])</f>
        <v>2027</v>
      </c>
    </row>
    <row r="830" spans="1:15" x14ac:dyDescent="0.3">
      <c r="A830" t="s">
        <v>861</v>
      </c>
      <c r="B830" s="1">
        <v>46649</v>
      </c>
      <c r="C830" t="s">
        <v>40</v>
      </c>
      <c r="D830" t="s">
        <v>13</v>
      </c>
      <c r="E830" t="s">
        <v>22</v>
      </c>
      <c r="F830" s="3">
        <v>1</v>
      </c>
      <c r="G830" s="4">
        <v>45864</v>
      </c>
      <c r="H830" s="4">
        <v>45864</v>
      </c>
      <c r="I830" s="4">
        <v>35342.79</v>
      </c>
      <c r="J830" s="4">
        <v>10521.21</v>
      </c>
      <c r="K830" t="s">
        <v>15</v>
      </c>
      <c r="L830" s="3">
        <f>(Table1[[#This Row],[Profit]]/Table1[[#This Row],[Sales_Amount]])*100</f>
        <v>22.940018315018314</v>
      </c>
      <c r="M830" s="4" t="str" cm="1">
        <f t="array" ref="M830">_xlfn.IFS(Table1[[#This Row],[Sales_Amount]]&gt;200000,"High",AND(Table1[[#This Row],[Sales_Amount]]&gt;100000,Table1[[#This Row],[Sales_Amount]]&lt;200000),"Medium",Table1[[#This Row],[Sales_Amount]]&lt;100000,"Low")</f>
        <v>Low</v>
      </c>
      <c r="N830" t="str">
        <f>TEXT(Table1[[#This Row],[Order_Date]],"MMMM")</f>
        <v>September</v>
      </c>
      <c r="O830">
        <f>YEAR(Table1[[#This Row],[Order_Date]])</f>
        <v>2027</v>
      </c>
    </row>
    <row r="831" spans="1:15" x14ac:dyDescent="0.3">
      <c r="A831" t="s">
        <v>862</v>
      </c>
      <c r="B831" s="1">
        <v>46650</v>
      </c>
      <c r="C831" t="s">
        <v>12</v>
      </c>
      <c r="D831" t="s">
        <v>44</v>
      </c>
      <c r="E831" t="s">
        <v>37</v>
      </c>
      <c r="F831" s="3">
        <v>7</v>
      </c>
      <c r="G831" s="4">
        <v>11719</v>
      </c>
      <c r="H831" s="4">
        <v>82033</v>
      </c>
      <c r="I831" s="4">
        <v>67931.679999999993</v>
      </c>
      <c r="J831" s="4">
        <v>14101.32</v>
      </c>
      <c r="K831" t="s">
        <v>23</v>
      </c>
      <c r="L831" s="3">
        <f>(Table1[[#This Row],[Profit]]/Table1[[#This Row],[Sales_Amount]])*100</f>
        <v>17.189813855399656</v>
      </c>
      <c r="M831" s="4" t="str" cm="1">
        <f t="array" ref="M831">_xlfn.IFS(Table1[[#This Row],[Sales_Amount]]&gt;200000,"High",AND(Table1[[#This Row],[Sales_Amount]]&gt;100000,Table1[[#This Row],[Sales_Amount]]&lt;200000),"Medium",Table1[[#This Row],[Sales_Amount]]&lt;100000,"Low")</f>
        <v>Low</v>
      </c>
      <c r="N831" t="str">
        <f>TEXT(Table1[[#This Row],[Order_Date]],"MMMM")</f>
        <v>September</v>
      </c>
      <c r="O831">
        <f>YEAR(Table1[[#This Row],[Order_Date]])</f>
        <v>2027</v>
      </c>
    </row>
    <row r="832" spans="1:15" x14ac:dyDescent="0.3">
      <c r="A832" t="s">
        <v>863</v>
      </c>
      <c r="B832" s="1">
        <v>46651</v>
      </c>
      <c r="C832" t="s">
        <v>12</v>
      </c>
      <c r="D832" t="s">
        <v>29</v>
      </c>
      <c r="E832" t="s">
        <v>25</v>
      </c>
      <c r="F832" s="3">
        <v>3</v>
      </c>
      <c r="G832" s="4">
        <v>38387</v>
      </c>
      <c r="H832" s="4">
        <v>115161</v>
      </c>
      <c r="I832" s="4">
        <v>102613.14</v>
      </c>
      <c r="J832" s="4">
        <v>12547.86</v>
      </c>
      <c r="K832" t="s">
        <v>58</v>
      </c>
      <c r="L832" s="3">
        <f>(Table1[[#This Row],[Profit]]/Table1[[#This Row],[Sales_Amount]])*100</f>
        <v>10.895928309062965</v>
      </c>
      <c r="M832" s="4" t="str" cm="1">
        <f t="array" ref="M832">_xlfn.IFS(Table1[[#This Row],[Sales_Amount]]&gt;200000,"High",AND(Table1[[#This Row],[Sales_Amount]]&gt;100000,Table1[[#This Row],[Sales_Amount]]&lt;200000),"Medium",Table1[[#This Row],[Sales_Amount]]&lt;100000,"Low")</f>
        <v>Medium</v>
      </c>
      <c r="N832" t="str">
        <f>TEXT(Table1[[#This Row],[Order_Date]],"MMMM")</f>
        <v>September</v>
      </c>
      <c r="O832">
        <f>YEAR(Table1[[#This Row],[Order_Date]])</f>
        <v>2027</v>
      </c>
    </row>
    <row r="833" spans="1:15" x14ac:dyDescent="0.3">
      <c r="A833" t="s">
        <v>864</v>
      </c>
      <c r="B833" s="1">
        <v>46652</v>
      </c>
      <c r="C833" t="s">
        <v>28</v>
      </c>
      <c r="D833" t="s">
        <v>44</v>
      </c>
      <c r="E833" t="s">
        <v>37</v>
      </c>
      <c r="F833" s="3">
        <v>4</v>
      </c>
      <c r="G833" s="4">
        <v>39269</v>
      </c>
      <c r="H833" s="4">
        <v>157076</v>
      </c>
      <c r="I833" s="4">
        <v>116557.73</v>
      </c>
      <c r="J833" s="4">
        <v>40518.269999999997</v>
      </c>
      <c r="K833" t="s">
        <v>15</v>
      </c>
      <c r="L833" s="3">
        <f>(Table1[[#This Row],[Profit]]/Table1[[#This Row],[Sales_Amount]])*100</f>
        <v>25.795328376072728</v>
      </c>
      <c r="M833" s="4" t="str" cm="1">
        <f t="array" ref="M833">_xlfn.IFS(Table1[[#This Row],[Sales_Amount]]&gt;200000,"High",AND(Table1[[#This Row],[Sales_Amount]]&gt;100000,Table1[[#This Row],[Sales_Amount]]&lt;200000),"Medium",Table1[[#This Row],[Sales_Amount]]&lt;100000,"Low")</f>
        <v>Medium</v>
      </c>
      <c r="N833" t="str">
        <f>TEXT(Table1[[#This Row],[Order_Date]],"MMMM")</f>
        <v>September</v>
      </c>
      <c r="O833">
        <f>YEAR(Table1[[#This Row],[Order_Date]])</f>
        <v>2027</v>
      </c>
    </row>
    <row r="834" spans="1:15" x14ac:dyDescent="0.3">
      <c r="A834" t="s">
        <v>865</v>
      </c>
      <c r="B834" s="1">
        <v>46653</v>
      </c>
      <c r="C834" t="s">
        <v>12</v>
      </c>
      <c r="D834" t="s">
        <v>13</v>
      </c>
      <c r="E834" t="s">
        <v>19</v>
      </c>
      <c r="F834" s="3">
        <v>4</v>
      </c>
      <c r="G834" s="4">
        <v>16741</v>
      </c>
      <c r="H834" s="4">
        <v>66964</v>
      </c>
      <c r="I834" s="4">
        <v>46753.51</v>
      </c>
      <c r="J834" s="4">
        <v>20210.490000000002</v>
      </c>
      <c r="K834" t="s">
        <v>15</v>
      </c>
      <c r="L834" s="3">
        <f>(Table1[[#This Row],[Profit]]/Table1[[#This Row],[Sales_Amount]])*100</f>
        <v>30.181127172809276</v>
      </c>
      <c r="M834" s="4" t="str" cm="1">
        <f t="array" ref="M834">_xlfn.IFS(Table1[[#This Row],[Sales_Amount]]&gt;200000,"High",AND(Table1[[#This Row],[Sales_Amount]]&gt;100000,Table1[[#This Row],[Sales_Amount]]&lt;200000),"Medium",Table1[[#This Row],[Sales_Amount]]&lt;100000,"Low")</f>
        <v>Low</v>
      </c>
      <c r="N834" t="str">
        <f>TEXT(Table1[[#This Row],[Order_Date]],"MMMM")</f>
        <v>September</v>
      </c>
      <c r="O834">
        <f>YEAR(Table1[[#This Row],[Order_Date]])</f>
        <v>2027</v>
      </c>
    </row>
    <row r="835" spans="1:15" x14ac:dyDescent="0.3">
      <c r="A835" t="s">
        <v>866</v>
      </c>
      <c r="B835" s="1">
        <v>46654</v>
      </c>
      <c r="C835" t="s">
        <v>17</v>
      </c>
      <c r="D835" t="s">
        <v>21</v>
      </c>
      <c r="E835" t="s">
        <v>14</v>
      </c>
      <c r="F835" s="3">
        <v>1</v>
      </c>
      <c r="G835" s="4">
        <v>31344</v>
      </c>
      <c r="H835" s="4">
        <v>31344</v>
      </c>
      <c r="I835" s="4">
        <v>25703.42</v>
      </c>
      <c r="J835" s="4">
        <v>5640.58</v>
      </c>
      <c r="K835" t="s">
        <v>58</v>
      </c>
      <c r="L835" s="3">
        <f>(Table1[[#This Row],[Profit]]/Table1[[#This Row],[Sales_Amount]])*100</f>
        <v>17.995724859622257</v>
      </c>
      <c r="M835" s="4" t="str" cm="1">
        <f t="array" ref="M835">_xlfn.IFS(Table1[[#This Row],[Sales_Amount]]&gt;200000,"High",AND(Table1[[#This Row],[Sales_Amount]]&gt;100000,Table1[[#This Row],[Sales_Amount]]&lt;200000),"Medium",Table1[[#This Row],[Sales_Amount]]&lt;100000,"Low")</f>
        <v>Low</v>
      </c>
      <c r="N835" t="str">
        <f>TEXT(Table1[[#This Row],[Order_Date]],"MMMM")</f>
        <v>September</v>
      </c>
      <c r="O835">
        <f>YEAR(Table1[[#This Row],[Order_Date]])</f>
        <v>2027</v>
      </c>
    </row>
    <row r="836" spans="1:15" x14ac:dyDescent="0.3">
      <c r="A836" t="s">
        <v>867</v>
      </c>
      <c r="B836" s="1">
        <v>46655</v>
      </c>
      <c r="C836" t="s">
        <v>17</v>
      </c>
      <c r="D836" t="s">
        <v>18</v>
      </c>
      <c r="E836" t="s">
        <v>19</v>
      </c>
      <c r="F836" s="3">
        <v>2</v>
      </c>
      <c r="G836" s="4">
        <v>30151</v>
      </c>
      <c r="H836" s="4">
        <v>60302</v>
      </c>
      <c r="I836" s="4">
        <v>45141.2</v>
      </c>
      <c r="J836" s="4">
        <v>15160.8</v>
      </c>
      <c r="K836" t="s">
        <v>58</v>
      </c>
      <c r="L836" s="3">
        <f>(Table1[[#This Row],[Profit]]/Table1[[#This Row],[Sales_Amount]])*100</f>
        <v>25.14145467812013</v>
      </c>
      <c r="M836" s="4" t="str" cm="1">
        <f t="array" ref="M836">_xlfn.IFS(Table1[[#This Row],[Sales_Amount]]&gt;200000,"High",AND(Table1[[#This Row],[Sales_Amount]]&gt;100000,Table1[[#This Row],[Sales_Amount]]&lt;200000),"Medium",Table1[[#This Row],[Sales_Amount]]&lt;100000,"Low")</f>
        <v>Low</v>
      </c>
      <c r="N836" t="str">
        <f>TEXT(Table1[[#This Row],[Order_Date]],"MMMM")</f>
        <v>September</v>
      </c>
      <c r="O836">
        <f>YEAR(Table1[[#This Row],[Order_Date]])</f>
        <v>2027</v>
      </c>
    </row>
    <row r="837" spans="1:15" x14ac:dyDescent="0.3">
      <c r="A837" t="s">
        <v>868</v>
      </c>
      <c r="B837" s="1">
        <v>46656</v>
      </c>
      <c r="C837" t="s">
        <v>17</v>
      </c>
      <c r="D837" t="s">
        <v>18</v>
      </c>
      <c r="E837" t="s">
        <v>22</v>
      </c>
      <c r="F837" s="3">
        <v>6</v>
      </c>
      <c r="G837" s="4">
        <v>19884</v>
      </c>
      <c r="H837" s="4">
        <v>119304</v>
      </c>
      <c r="I837" s="4">
        <v>80138.73</v>
      </c>
      <c r="J837" s="4">
        <v>39165.269999999997</v>
      </c>
      <c r="K837" t="s">
        <v>58</v>
      </c>
      <c r="L837" s="3">
        <f>(Table1[[#This Row],[Profit]]/Table1[[#This Row],[Sales_Amount]])*100</f>
        <v>32.828128143230735</v>
      </c>
      <c r="M837" s="4" t="str" cm="1">
        <f t="array" ref="M837">_xlfn.IFS(Table1[[#This Row],[Sales_Amount]]&gt;200000,"High",AND(Table1[[#This Row],[Sales_Amount]]&gt;100000,Table1[[#This Row],[Sales_Amount]]&lt;200000),"Medium",Table1[[#This Row],[Sales_Amount]]&lt;100000,"Low")</f>
        <v>Medium</v>
      </c>
      <c r="N837" t="str">
        <f>TEXT(Table1[[#This Row],[Order_Date]],"MMMM")</f>
        <v>September</v>
      </c>
      <c r="O837">
        <f>YEAR(Table1[[#This Row],[Order_Date]])</f>
        <v>2027</v>
      </c>
    </row>
    <row r="838" spans="1:15" x14ac:dyDescent="0.3">
      <c r="A838" t="s">
        <v>869</v>
      </c>
      <c r="B838" s="1">
        <v>46657</v>
      </c>
      <c r="C838" t="s">
        <v>17</v>
      </c>
      <c r="D838" t="s">
        <v>56</v>
      </c>
      <c r="E838" t="s">
        <v>32</v>
      </c>
      <c r="F838" s="3">
        <v>3</v>
      </c>
      <c r="G838" s="4">
        <v>46591</v>
      </c>
      <c r="H838" s="4">
        <v>139773</v>
      </c>
      <c r="I838" s="4">
        <v>103122.4</v>
      </c>
      <c r="J838" s="4">
        <v>36650.6</v>
      </c>
      <c r="K838" t="s">
        <v>58</v>
      </c>
      <c r="L838" s="3">
        <f>(Table1[[#This Row],[Profit]]/Table1[[#This Row],[Sales_Amount]])*100</f>
        <v>26.221516315740523</v>
      </c>
      <c r="M838" s="4" t="str" cm="1">
        <f t="array" ref="M838">_xlfn.IFS(Table1[[#This Row],[Sales_Amount]]&gt;200000,"High",AND(Table1[[#This Row],[Sales_Amount]]&gt;100000,Table1[[#This Row],[Sales_Amount]]&lt;200000),"Medium",Table1[[#This Row],[Sales_Amount]]&lt;100000,"Low")</f>
        <v>Medium</v>
      </c>
      <c r="N838" t="str">
        <f>TEXT(Table1[[#This Row],[Order_Date]],"MMMM")</f>
        <v>September</v>
      </c>
      <c r="O838">
        <f>YEAR(Table1[[#This Row],[Order_Date]])</f>
        <v>2027</v>
      </c>
    </row>
    <row r="839" spans="1:15" x14ac:dyDescent="0.3">
      <c r="A839" t="s">
        <v>870</v>
      </c>
      <c r="B839" s="1">
        <v>46658</v>
      </c>
      <c r="C839" t="s">
        <v>40</v>
      </c>
      <c r="D839" t="s">
        <v>56</v>
      </c>
      <c r="E839" t="s">
        <v>19</v>
      </c>
      <c r="F839" s="3">
        <v>7</v>
      </c>
      <c r="G839" s="4">
        <v>12620</v>
      </c>
      <c r="H839" s="4">
        <v>88340</v>
      </c>
      <c r="I839" s="4">
        <v>73936.84</v>
      </c>
      <c r="J839" s="4">
        <v>14403.16</v>
      </c>
      <c r="K839" t="s">
        <v>15</v>
      </c>
      <c r="L839" s="3">
        <f>(Table1[[#This Row],[Profit]]/Table1[[#This Row],[Sales_Amount]])*100</f>
        <v>16.304233642743942</v>
      </c>
      <c r="M839" s="4" t="str" cm="1">
        <f t="array" ref="M839">_xlfn.IFS(Table1[[#This Row],[Sales_Amount]]&gt;200000,"High",AND(Table1[[#This Row],[Sales_Amount]]&gt;100000,Table1[[#This Row],[Sales_Amount]]&lt;200000),"Medium",Table1[[#This Row],[Sales_Amount]]&lt;100000,"Low")</f>
        <v>Low</v>
      </c>
      <c r="N839" t="str">
        <f>TEXT(Table1[[#This Row],[Order_Date]],"MMMM")</f>
        <v>September</v>
      </c>
      <c r="O839">
        <f>YEAR(Table1[[#This Row],[Order_Date]])</f>
        <v>2027</v>
      </c>
    </row>
    <row r="840" spans="1:15" x14ac:dyDescent="0.3">
      <c r="A840" t="s">
        <v>871</v>
      </c>
      <c r="B840" s="1">
        <v>46659</v>
      </c>
      <c r="C840" t="s">
        <v>17</v>
      </c>
      <c r="D840" t="s">
        <v>44</v>
      </c>
      <c r="E840" t="s">
        <v>14</v>
      </c>
      <c r="F840" s="3">
        <v>7</v>
      </c>
      <c r="G840" s="4">
        <v>45769</v>
      </c>
      <c r="H840" s="4">
        <v>320383</v>
      </c>
      <c r="I840" s="4">
        <v>224227.04</v>
      </c>
      <c r="J840" s="4">
        <v>96155.96</v>
      </c>
      <c r="K840" t="s">
        <v>58</v>
      </c>
      <c r="L840" s="3">
        <f>(Table1[[#This Row],[Profit]]/Table1[[#This Row],[Sales_Amount]])*100</f>
        <v>30.012815910956576</v>
      </c>
      <c r="M840" s="4" t="str" cm="1">
        <f t="array" ref="M840">_xlfn.IFS(Table1[[#This Row],[Sales_Amount]]&gt;200000,"High",AND(Table1[[#This Row],[Sales_Amount]]&gt;100000,Table1[[#This Row],[Sales_Amount]]&lt;200000),"Medium",Table1[[#This Row],[Sales_Amount]]&lt;100000,"Low")</f>
        <v>High</v>
      </c>
      <c r="N840" t="str">
        <f>TEXT(Table1[[#This Row],[Order_Date]],"MMMM")</f>
        <v>September</v>
      </c>
      <c r="O840">
        <f>YEAR(Table1[[#This Row],[Order_Date]])</f>
        <v>2027</v>
      </c>
    </row>
    <row r="841" spans="1:15" x14ac:dyDescent="0.3">
      <c r="A841" t="s">
        <v>872</v>
      </c>
      <c r="B841" s="1">
        <v>46660</v>
      </c>
      <c r="C841" t="s">
        <v>12</v>
      </c>
      <c r="D841" t="s">
        <v>29</v>
      </c>
      <c r="E841" t="s">
        <v>19</v>
      </c>
      <c r="F841" s="3">
        <v>10</v>
      </c>
      <c r="G841" s="4">
        <v>36049</v>
      </c>
      <c r="H841" s="4">
        <v>360490</v>
      </c>
      <c r="I841" s="4">
        <v>278503.33</v>
      </c>
      <c r="J841" s="4">
        <v>81986.67</v>
      </c>
      <c r="K841" t="s">
        <v>26</v>
      </c>
      <c r="L841" s="3">
        <f>(Table1[[#This Row],[Profit]]/Table1[[#This Row],[Sales_Amount]])*100</f>
        <v>22.743119087908127</v>
      </c>
      <c r="M841" s="4" t="str" cm="1">
        <f t="array" ref="M841">_xlfn.IFS(Table1[[#This Row],[Sales_Amount]]&gt;200000,"High",AND(Table1[[#This Row],[Sales_Amount]]&gt;100000,Table1[[#This Row],[Sales_Amount]]&lt;200000),"Medium",Table1[[#This Row],[Sales_Amount]]&lt;100000,"Low")</f>
        <v>High</v>
      </c>
      <c r="N841" t="str">
        <f>TEXT(Table1[[#This Row],[Order_Date]],"MMMM")</f>
        <v>September</v>
      </c>
      <c r="O841">
        <f>YEAR(Table1[[#This Row],[Order_Date]])</f>
        <v>2027</v>
      </c>
    </row>
    <row r="842" spans="1:15" x14ac:dyDescent="0.3">
      <c r="A842" t="s">
        <v>873</v>
      </c>
      <c r="B842" s="1">
        <v>46661</v>
      </c>
      <c r="C842" t="s">
        <v>40</v>
      </c>
      <c r="D842" t="s">
        <v>56</v>
      </c>
      <c r="E842" t="s">
        <v>25</v>
      </c>
      <c r="F842" s="3">
        <v>6</v>
      </c>
      <c r="G842" s="4">
        <v>3879</v>
      </c>
      <c r="H842" s="4">
        <v>23274</v>
      </c>
      <c r="I842" s="4">
        <v>14739.19</v>
      </c>
      <c r="J842" s="4">
        <v>8534.81</v>
      </c>
      <c r="K842" t="s">
        <v>15</v>
      </c>
      <c r="L842" s="3">
        <f>(Table1[[#This Row],[Profit]]/Table1[[#This Row],[Sales_Amount]])*100</f>
        <v>36.671006273094434</v>
      </c>
      <c r="M842" s="4" t="str" cm="1">
        <f t="array" ref="M842">_xlfn.IFS(Table1[[#This Row],[Sales_Amount]]&gt;200000,"High",AND(Table1[[#This Row],[Sales_Amount]]&gt;100000,Table1[[#This Row],[Sales_Amount]]&lt;200000),"Medium",Table1[[#This Row],[Sales_Amount]]&lt;100000,"Low")</f>
        <v>Low</v>
      </c>
      <c r="N842" t="str">
        <f>TEXT(Table1[[#This Row],[Order_Date]],"MMMM")</f>
        <v>October</v>
      </c>
      <c r="O842">
        <f>YEAR(Table1[[#This Row],[Order_Date]])</f>
        <v>2027</v>
      </c>
    </row>
    <row r="843" spans="1:15" x14ac:dyDescent="0.3">
      <c r="A843" t="s">
        <v>874</v>
      </c>
      <c r="B843" s="1">
        <v>46662</v>
      </c>
      <c r="C843" t="s">
        <v>17</v>
      </c>
      <c r="D843" t="s">
        <v>51</v>
      </c>
      <c r="E843" t="s">
        <v>32</v>
      </c>
      <c r="F843" s="3">
        <v>3</v>
      </c>
      <c r="G843" s="4">
        <v>42978</v>
      </c>
      <c r="H843" s="4">
        <v>128934</v>
      </c>
      <c r="I843" s="4">
        <v>98974.53</v>
      </c>
      <c r="J843" s="4">
        <v>29959.47</v>
      </c>
      <c r="K843" t="s">
        <v>23</v>
      </c>
      <c r="L843" s="3">
        <f>(Table1[[#This Row],[Profit]]/Table1[[#This Row],[Sales_Amount]])*100</f>
        <v>23.236283680022339</v>
      </c>
      <c r="M843" s="4" t="str" cm="1">
        <f t="array" ref="M843">_xlfn.IFS(Table1[[#This Row],[Sales_Amount]]&gt;200000,"High",AND(Table1[[#This Row],[Sales_Amount]]&gt;100000,Table1[[#This Row],[Sales_Amount]]&lt;200000),"Medium",Table1[[#This Row],[Sales_Amount]]&lt;100000,"Low")</f>
        <v>Medium</v>
      </c>
      <c r="N843" t="str">
        <f>TEXT(Table1[[#This Row],[Order_Date]],"MMMM")</f>
        <v>October</v>
      </c>
      <c r="O843">
        <f>YEAR(Table1[[#This Row],[Order_Date]])</f>
        <v>2027</v>
      </c>
    </row>
    <row r="844" spans="1:15" x14ac:dyDescent="0.3">
      <c r="A844" t="s">
        <v>875</v>
      </c>
      <c r="B844" s="1">
        <v>46663</v>
      </c>
      <c r="C844" t="s">
        <v>12</v>
      </c>
      <c r="D844" t="s">
        <v>51</v>
      </c>
      <c r="E844" t="s">
        <v>22</v>
      </c>
      <c r="F844" s="3">
        <v>9</v>
      </c>
      <c r="G844" s="4">
        <v>7942</v>
      </c>
      <c r="H844" s="4">
        <v>71478</v>
      </c>
      <c r="I844" s="4">
        <v>56804.39</v>
      </c>
      <c r="J844" s="4">
        <v>14673.61</v>
      </c>
      <c r="K844" t="s">
        <v>26</v>
      </c>
      <c r="L844" s="3">
        <f>(Table1[[#This Row],[Profit]]/Table1[[#This Row],[Sales_Amount]])*100</f>
        <v>20.528848037158287</v>
      </c>
      <c r="M844" s="4" t="str" cm="1">
        <f t="array" ref="M844">_xlfn.IFS(Table1[[#This Row],[Sales_Amount]]&gt;200000,"High",AND(Table1[[#This Row],[Sales_Amount]]&gt;100000,Table1[[#This Row],[Sales_Amount]]&lt;200000),"Medium",Table1[[#This Row],[Sales_Amount]]&lt;100000,"Low")</f>
        <v>Low</v>
      </c>
      <c r="N844" t="str">
        <f>TEXT(Table1[[#This Row],[Order_Date]],"MMMM")</f>
        <v>October</v>
      </c>
      <c r="O844">
        <f>YEAR(Table1[[#This Row],[Order_Date]])</f>
        <v>2027</v>
      </c>
    </row>
    <row r="845" spans="1:15" x14ac:dyDescent="0.3">
      <c r="A845" t="s">
        <v>876</v>
      </c>
      <c r="B845" s="1">
        <v>46664</v>
      </c>
      <c r="C845" t="s">
        <v>17</v>
      </c>
      <c r="D845" t="s">
        <v>29</v>
      </c>
      <c r="E845" t="s">
        <v>32</v>
      </c>
      <c r="F845" s="3">
        <v>9</v>
      </c>
      <c r="G845" s="4">
        <v>45079</v>
      </c>
      <c r="H845" s="4">
        <v>405711</v>
      </c>
      <c r="I845" s="4">
        <v>294902.7</v>
      </c>
      <c r="J845" s="4">
        <v>110808.3</v>
      </c>
      <c r="K845" t="s">
        <v>26</v>
      </c>
      <c r="L845" s="3">
        <f>(Table1[[#This Row],[Profit]]/Table1[[#This Row],[Sales_Amount]])*100</f>
        <v>27.312126119331246</v>
      </c>
      <c r="M845" s="4" t="str" cm="1">
        <f t="array" ref="M845">_xlfn.IFS(Table1[[#This Row],[Sales_Amount]]&gt;200000,"High",AND(Table1[[#This Row],[Sales_Amount]]&gt;100000,Table1[[#This Row],[Sales_Amount]]&lt;200000),"Medium",Table1[[#This Row],[Sales_Amount]]&lt;100000,"Low")</f>
        <v>High</v>
      </c>
      <c r="N845" t="str">
        <f>TEXT(Table1[[#This Row],[Order_Date]],"MMMM")</f>
        <v>October</v>
      </c>
      <c r="O845">
        <f>YEAR(Table1[[#This Row],[Order_Date]])</f>
        <v>2027</v>
      </c>
    </row>
    <row r="846" spans="1:15" x14ac:dyDescent="0.3">
      <c r="A846" t="s">
        <v>877</v>
      </c>
      <c r="B846" s="1">
        <v>46665</v>
      </c>
      <c r="C846" t="s">
        <v>17</v>
      </c>
      <c r="D846" t="s">
        <v>56</v>
      </c>
      <c r="E846" t="s">
        <v>37</v>
      </c>
      <c r="F846" s="3">
        <v>8</v>
      </c>
      <c r="G846" s="4">
        <v>33363</v>
      </c>
      <c r="H846" s="4">
        <v>266904</v>
      </c>
      <c r="I846" s="4">
        <v>202314.51</v>
      </c>
      <c r="J846" s="4">
        <v>64589.49</v>
      </c>
      <c r="K846" t="s">
        <v>26</v>
      </c>
      <c r="L846" s="3">
        <f>(Table1[[#This Row],[Profit]]/Table1[[#This Row],[Sales_Amount]])*100</f>
        <v>24.199521176153223</v>
      </c>
      <c r="M846" s="4" t="str" cm="1">
        <f t="array" ref="M846">_xlfn.IFS(Table1[[#This Row],[Sales_Amount]]&gt;200000,"High",AND(Table1[[#This Row],[Sales_Amount]]&gt;100000,Table1[[#This Row],[Sales_Amount]]&lt;200000),"Medium",Table1[[#This Row],[Sales_Amount]]&lt;100000,"Low")</f>
        <v>High</v>
      </c>
      <c r="N846" t="str">
        <f>TEXT(Table1[[#This Row],[Order_Date]],"MMMM")</f>
        <v>October</v>
      </c>
      <c r="O846">
        <f>YEAR(Table1[[#This Row],[Order_Date]])</f>
        <v>2027</v>
      </c>
    </row>
    <row r="847" spans="1:15" x14ac:dyDescent="0.3">
      <c r="A847" t="s">
        <v>878</v>
      </c>
      <c r="B847" s="1">
        <v>46666</v>
      </c>
      <c r="C847" t="s">
        <v>17</v>
      </c>
      <c r="D847" t="s">
        <v>51</v>
      </c>
      <c r="E847" t="s">
        <v>25</v>
      </c>
      <c r="F847" s="3">
        <v>6</v>
      </c>
      <c r="G847" s="4">
        <v>44625</v>
      </c>
      <c r="H847" s="4">
        <v>267750</v>
      </c>
      <c r="I847" s="4">
        <v>236586.47</v>
      </c>
      <c r="J847" s="4">
        <v>31163.53</v>
      </c>
      <c r="K847" t="s">
        <v>58</v>
      </c>
      <c r="L847" s="3">
        <f>(Table1[[#This Row],[Profit]]/Table1[[#This Row],[Sales_Amount]])*100</f>
        <v>11.63904014939309</v>
      </c>
      <c r="M847" s="4" t="str" cm="1">
        <f t="array" ref="M847">_xlfn.IFS(Table1[[#This Row],[Sales_Amount]]&gt;200000,"High",AND(Table1[[#This Row],[Sales_Amount]]&gt;100000,Table1[[#This Row],[Sales_Amount]]&lt;200000),"Medium",Table1[[#This Row],[Sales_Amount]]&lt;100000,"Low")</f>
        <v>High</v>
      </c>
      <c r="N847" t="str">
        <f>TEXT(Table1[[#This Row],[Order_Date]],"MMMM")</f>
        <v>October</v>
      </c>
      <c r="O847">
        <f>YEAR(Table1[[#This Row],[Order_Date]])</f>
        <v>2027</v>
      </c>
    </row>
    <row r="848" spans="1:15" x14ac:dyDescent="0.3">
      <c r="A848" t="s">
        <v>879</v>
      </c>
      <c r="B848" s="1">
        <v>46667</v>
      </c>
      <c r="C848" t="s">
        <v>17</v>
      </c>
      <c r="D848" t="s">
        <v>29</v>
      </c>
      <c r="E848" t="s">
        <v>14</v>
      </c>
      <c r="F848" s="3">
        <v>7</v>
      </c>
      <c r="G848" s="4">
        <v>12218</v>
      </c>
      <c r="H848" s="4">
        <v>85526</v>
      </c>
      <c r="I848" s="4">
        <v>58714.61</v>
      </c>
      <c r="J848" s="4">
        <v>26811.39</v>
      </c>
      <c r="K848" t="s">
        <v>23</v>
      </c>
      <c r="L848" s="3">
        <f>(Table1[[#This Row],[Profit]]/Table1[[#This Row],[Sales_Amount]])*100</f>
        <v>31.348817903327642</v>
      </c>
      <c r="M848" s="4" t="str" cm="1">
        <f t="array" ref="M848">_xlfn.IFS(Table1[[#This Row],[Sales_Amount]]&gt;200000,"High",AND(Table1[[#This Row],[Sales_Amount]]&gt;100000,Table1[[#This Row],[Sales_Amount]]&lt;200000),"Medium",Table1[[#This Row],[Sales_Amount]]&lt;100000,"Low")</f>
        <v>Low</v>
      </c>
      <c r="N848" t="str">
        <f>TEXT(Table1[[#This Row],[Order_Date]],"MMMM")</f>
        <v>October</v>
      </c>
      <c r="O848">
        <f>YEAR(Table1[[#This Row],[Order_Date]])</f>
        <v>2027</v>
      </c>
    </row>
    <row r="849" spans="1:15" x14ac:dyDescent="0.3">
      <c r="A849" t="s">
        <v>880</v>
      </c>
      <c r="B849" s="1">
        <v>46668</v>
      </c>
      <c r="C849" t="s">
        <v>12</v>
      </c>
      <c r="D849" t="s">
        <v>18</v>
      </c>
      <c r="E849" t="s">
        <v>14</v>
      </c>
      <c r="F849" s="3">
        <v>3</v>
      </c>
      <c r="G849" s="4">
        <v>33027</v>
      </c>
      <c r="H849" s="4">
        <v>99081</v>
      </c>
      <c r="I849" s="4">
        <v>63922.05</v>
      </c>
      <c r="J849" s="4">
        <v>35158.949999999997</v>
      </c>
      <c r="K849" t="s">
        <v>26</v>
      </c>
      <c r="L849" s="3">
        <f>(Table1[[#This Row],[Profit]]/Table1[[#This Row],[Sales_Amount]])*100</f>
        <v>35.485057680079926</v>
      </c>
      <c r="M849" s="4" t="str" cm="1">
        <f t="array" ref="M849">_xlfn.IFS(Table1[[#This Row],[Sales_Amount]]&gt;200000,"High",AND(Table1[[#This Row],[Sales_Amount]]&gt;100000,Table1[[#This Row],[Sales_Amount]]&lt;200000),"Medium",Table1[[#This Row],[Sales_Amount]]&lt;100000,"Low")</f>
        <v>Low</v>
      </c>
      <c r="N849" t="str">
        <f>TEXT(Table1[[#This Row],[Order_Date]],"MMMM")</f>
        <v>October</v>
      </c>
      <c r="O849">
        <f>YEAR(Table1[[#This Row],[Order_Date]])</f>
        <v>2027</v>
      </c>
    </row>
    <row r="850" spans="1:15" x14ac:dyDescent="0.3">
      <c r="A850" t="s">
        <v>881</v>
      </c>
      <c r="B850" s="1">
        <v>46669</v>
      </c>
      <c r="C850" t="s">
        <v>28</v>
      </c>
      <c r="D850" t="s">
        <v>56</v>
      </c>
      <c r="E850" t="s">
        <v>19</v>
      </c>
      <c r="F850" s="3">
        <v>9</v>
      </c>
      <c r="G850" s="4">
        <v>9152</v>
      </c>
      <c r="H850" s="4">
        <v>82368</v>
      </c>
      <c r="I850" s="4">
        <v>61131.18</v>
      </c>
      <c r="J850" s="4">
        <v>21236.82</v>
      </c>
      <c r="K850" t="s">
        <v>15</v>
      </c>
      <c r="L850" s="3">
        <f>(Table1[[#This Row],[Profit]]/Table1[[#This Row],[Sales_Amount]])*100</f>
        <v>25.782852564102566</v>
      </c>
      <c r="M850" s="4" t="str" cm="1">
        <f t="array" ref="M850">_xlfn.IFS(Table1[[#This Row],[Sales_Amount]]&gt;200000,"High",AND(Table1[[#This Row],[Sales_Amount]]&gt;100000,Table1[[#This Row],[Sales_Amount]]&lt;200000),"Medium",Table1[[#This Row],[Sales_Amount]]&lt;100000,"Low")</f>
        <v>Low</v>
      </c>
      <c r="N850" t="str">
        <f>TEXT(Table1[[#This Row],[Order_Date]],"MMMM")</f>
        <v>October</v>
      </c>
      <c r="O850">
        <f>YEAR(Table1[[#This Row],[Order_Date]])</f>
        <v>2027</v>
      </c>
    </row>
    <row r="851" spans="1:15" x14ac:dyDescent="0.3">
      <c r="A851" t="s">
        <v>882</v>
      </c>
      <c r="B851" s="1">
        <v>46670</v>
      </c>
      <c r="C851" t="s">
        <v>12</v>
      </c>
      <c r="D851" t="s">
        <v>34</v>
      </c>
      <c r="E851" t="s">
        <v>22</v>
      </c>
      <c r="F851" s="3">
        <v>2</v>
      </c>
      <c r="G851" s="4">
        <v>1944</v>
      </c>
      <c r="H851" s="4">
        <v>3888</v>
      </c>
      <c r="I851" s="4">
        <v>3349.66</v>
      </c>
      <c r="J851" s="4">
        <v>538.34</v>
      </c>
      <c r="K851" t="s">
        <v>58</v>
      </c>
      <c r="L851" s="3">
        <f>(Table1[[#This Row],[Profit]]/Table1[[#This Row],[Sales_Amount]])*100</f>
        <v>13.846193415637861</v>
      </c>
      <c r="M851" s="4" t="str" cm="1">
        <f t="array" ref="M851">_xlfn.IFS(Table1[[#This Row],[Sales_Amount]]&gt;200000,"High",AND(Table1[[#This Row],[Sales_Amount]]&gt;100000,Table1[[#This Row],[Sales_Amount]]&lt;200000),"Medium",Table1[[#This Row],[Sales_Amount]]&lt;100000,"Low")</f>
        <v>Low</v>
      </c>
      <c r="N851" t="str">
        <f>TEXT(Table1[[#This Row],[Order_Date]],"MMMM")</f>
        <v>October</v>
      </c>
      <c r="O851">
        <f>YEAR(Table1[[#This Row],[Order_Date]])</f>
        <v>2027</v>
      </c>
    </row>
    <row r="852" spans="1:15" x14ac:dyDescent="0.3">
      <c r="A852" t="s">
        <v>883</v>
      </c>
      <c r="B852" s="1">
        <v>46671</v>
      </c>
      <c r="C852" t="s">
        <v>28</v>
      </c>
      <c r="D852" t="s">
        <v>56</v>
      </c>
      <c r="E852" t="s">
        <v>32</v>
      </c>
      <c r="F852" s="3">
        <v>6</v>
      </c>
      <c r="G852" s="4">
        <v>32360</v>
      </c>
      <c r="H852" s="4">
        <v>194160</v>
      </c>
      <c r="I852" s="4">
        <v>151057.87</v>
      </c>
      <c r="J852" s="4">
        <v>43102.13</v>
      </c>
      <c r="K852" t="s">
        <v>26</v>
      </c>
      <c r="L852" s="3">
        <f>(Table1[[#This Row],[Profit]]/Table1[[#This Row],[Sales_Amount]])*100</f>
        <v>22.199284095591263</v>
      </c>
      <c r="M852" s="4" t="str" cm="1">
        <f t="array" ref="M852">_xlfn.IFS(Table1[[#This Row],[Sales_Amount]]&gt;200000,"High",AND(Table1[[#This Row],[Sales_Amount]]&gt;100000,Table1[[#This Row],[Sales_Amount]]&lt;200000),"Medium",Table1[[#This Row],[Sales_Amount]]&lt;100000,"Low")</f>
        <v>Medium</v>
      </c>
      <c r="N852" t="str">
        <f>TEXT(Table1[[#This Row],[Order_Date]],"MMMM")</f>
        <v>October</v>
      </c>
      <c r="O852">
        <f>YEAR(Table1[[#This Row],[Order_Date]])</f>
        <v>2027</v>
      </c>
    </row>
    <row r="853" spans="1:15" x14ac:dyDescent="0.3">
      <c r="A853" t="s">
        <v>884</v>
      </c>
      <c r="B853" s="1">
        <v>46672</v>
      </c>
      <c r="C853" t="s">
        <v>12</v>
      </c>
      <c r="D853" t="s">
        <v>56</v>
      </c>
      <c r="E853" t="s">
        <v>22</v>
      </c>
      <c r="F853" s="3">
        <v>5</v>
      </c>
      <c r="G853" s="4">
        <v>11754</v>
      </c>
      <c r="H853" s="4">
        <v>58770</v>
      </c>
      <c r="I853" s="4">
        <v>49177.58</v>
      </c>
      <c r="J853" s="4">
        <v>9592.42</v>
      </c>
      <c r="K853" t="s">
        <v>26</v>
      </c>
      <c r="L853" s="3">
        <f>(Table1[[#This Row],[Profit]]/Table1[[#This Row],[Sales_Amount]])*100</f>
        <v>16.321966989960863</v>
      </c>
      <c r="M853" s="4" t="str" cm="1">
        <f t="array" ref="M853">_xlfn.IFS(Table1[[#This Row],[Sales_Amount]]&gt;200000,"High",AND(Table1[[#This Row],[Sales_Amount]]&gt;100000,Table1[[#This Row],[Sales_Amount]]&lt;200000),"Medium",Table1[[#This Row],[Sales_Amount]]&lt;100000,"Low")</f>
        <v>Low</v>
      </c>
      <c r="N853" t="str">
        <f>TEXT(Table1[[#This Row],[Order_Date]],"MMMM")</f>
        <v>October</v>
      </c>
      <c r="O853">
        <f>YEAR(Table1[[#This Row],[Order_Date]])</f>
        <v>2027</v>
      </c>
    </row>
    <row r="854" spans="1:15" x14ac:dyDescent="0.3">
      <c r="A854" t="s">
        <v>885</v>
      </c>
      <c r="B854" s="1">
        <v>46673</v>
      </c>
      <c r="C854" t="s">
        <v>12</v>
      </c>
      <c r="D854" t="s">
        <v>13</v>
      </c>
      <c r="E854" t="s">
        <v>14</v>
      </c>
      <c r="F854" s="3">
        <v>3</v>
      </c>
      <c r="G854" s="4">
        <v>23642</v>
      </c>
      <c r="H854" s="4">
        <v>70926</v>
      </c>
      <c r="I854" s="4">
        <v>48606.62</v>
      </c>
      <c r="J854" s="4">
        <v>22319.38</v>
      </c>
      <c r="K854" t="s">
        <v>26</v>
      </c>
      <c r="L854" s="3">
        <f>(Table1[[#This Row],[Profit]]/Table1[[#This Row],[Sales_Amount]])*100</f>
        <v>31.468544680371092</v>
      </c>
      <c r="M854" s="4" t="str" cm="1">
        <f t="array" ref="M854">_xlfn.IFS(Table1[[#This Row],[Sales_Amount]]&gt;200000,"High",AND(Table1[[#This Row],[Sales_Amount]]&gt;100000,Table1[[#This Row],[Sales_Amount]]&lt;200000),"Medium",Table1[[#This Row],[Sales_Amount]]&lt;100000,"Low")</f>
        <v>Low</v>
      </c>
      <c r="N854" t="str">
        <f>TEXT(Table1[[#This Row],[Order_Date]],"MMMM")</f>
        <v>October</v>
      </c>
      <c r="O854">
        <f>YEAR(Table1[[#This Row],[Order_Date]])</f>
        <v>2027</v>
      </c>
    </row>
    <row r="855" spans="1:15" x14ac:dyDescent="0.3">
      <c r="A855" t="s">
        <v>886</v>
      </c>
      <c r="B855" s="1">
        <v>46674</v>
      </c>
      <c r="C855" t="s">
        <v>17</v>
      </c>
      <c r="D855" t="s">
        <v>34</v>
      </c>
      <c r="E855" t="s">
        <v>22</v>
      </c>
      <c r="F855" s="3">
        <v>3</v>
      </c>
      <c r="G855" s="4">
        <v>11067</v>
      </c>
      <c r="H855" s="4">
        <v>33201</v>
      </c>
      <c r="I855" s="4">
        <v>22290.21</v>
      </c>
      <c r="J855" s="4">
        <v>10910.79</v>
      </c>
      <c r="K855" t="s">
        <v>23</v>
      </c>
      <c r="L855" s="3">
        <f>(Table1[[#This Row],[Profit]]/Table1[[#This Row],[Sales_Amount]])*100</f>
        <v>32.862835456763349</v>
      </c>
      <c r="M855" s="4" t="str" cm="1">
        <f t="array" ref="M855">_xlfn.IFS(Table1[[#This Row],[Sales_Amount]]&gt;200000,"High",AND(Table1[[#This Row],[Sales_Amount]]&gt;100000,Table1[[#This Row],[Sales_Amount]]&lt;200000),"Medium",Table1[[#This Row],[Sales_Amount]]&lt;100000,"Low")</f>
        <v>Low</v>
      </c>
      <c r="N855" t="str">
        <f>TEXT(Table1[[#This Row],[Order_Date]],"MMMM")</f>
        <v>October</v>
      </c>
      <c r="O855">
        <f>YEAR(Table1[[#This Row],[Order_Date]])</f>
        <v>2027</v>
      </c>
    </row>
    <row r="856" spans="1:15" x14ac:dyDescent="0.3">
      <c r="A856" t="s">
        <v>887</v>
      </c>
      <c r="B856" s="1">
        <v>46675</v>
      </c>
      <c r="C856" t="s">
        <v>17</v>
      </c>
      <c r="D856" t="s">
        <v>34</v>
      </c>
      <c r="E856" t="s">
        <v>32</v>
      </c>
      <c r="F856" s="3">
        <v>6</v>
      </c>
      <c r="G856" s="4">
        <v>12591</v>
      </c>
      <c r="H856" s="4">
        <v>75546</v>
      </c>
      <c r="I856" s="4">
        <v>49977.2</v>
      </c>
      <c r="J856" s="4">
        <v>25568.799999999999</v>
      </c>
      <c r="K856" t="s">
        <v>26</v>
      </c>
      <c r="L856" s="3">
        <f>(Table1[[#This Row],[Profit]]/Table1[[#This Row],[Sales_Amount]])*100</f>
        <v>33.845339263495092</v>
      </c>
      <c r="M856" s="4" t="str" cm="1">
        <f t="array" ref="M856">_xlfn.IFS(Table1[[#This Row],[Sales_Amount]]&gt;200000,"High",AND(Table1[[#This Row],[Sales_Amount]]&gt;100000,Table1[[#This Row],[Sales_Amount]]&lt;200000),"Medium",Table1[[#This Row],[Sales_Amount]]&lt;100000,"Low")</f>
        <v>Low</v>
      </c>
      <c r="N856" t="str">
        <f>TEXT(Table1[[#This Row],[Order_Date]],"MMMM")</f>
        <v>October</v>
      </c>
      <c r="O856">
        <f>YEAR(Table1[[#This Row],[Order_Date]])</f>
        <v>2027</v>
      </c>
    </row>
    <row r="857" spans="1:15" x14ac:dyDescent="0.3">
      <c r="A857" t="s">
        <v>888</v>
      </c>
      <c r="B857" s="1">
        <v>46676</v>
      </c>
      <c r="C857" t="s">
        <v>40</v>
      </c>
      <c r="D857" t="s">
        <v>29</v>
      </c>
      <c r="E857" t="s">
        <v>32</v>
      </c>
      <c r="F857" s="3">
        <v>8</v>
      </c>
      <c r="G857" s="4">
        <v>35880</v>
      </c>
      <c r="H857" s="4">
        <v>287040</v>
      </c>
      <c r="I857" s="4">
        <v>256223.3</v>
      </c>
      <c r="J857" s="4">
        <v>30816.7</v>
      </c>
      <c r="K857" t="s">
        <v>15</v>
      </c>
      <c r="L857" s="3">
        <f>(Table1[[#This Row],[Profit]]/Table1[[#This Row],[Sales_Amount]])*100</f>
        <v>10.736029821627648</v>
      </c>
      <c r="M857" s="4" t="str" cm="1">
        <f t="array" ref="M857">_xlfn.IFS(Table1[[#This Row],[Sales_Amount]]&gt;200000,"High",AND(Table1[[#This Row],[Sales_Amount]]&gt;100000,Table1[[#This Row],[Sales_Amount]]&lt;200000),"Medium",Table1[[#This Row],[Sales_Amount]]&lt;100000,"Low")</f>
        <v>High</v>
      </c>
      <c r="N857" t="str">
        <f>TEXT(Table1[[#This Row],[Order_Date]],"MMMM")</f>
        <v>October</v>
      </c>
      <c r="O857">
        <f>YEAR(Table1[[#This Row],[Order_Date]])</f>
        <v>2027</v>
      </c>
    </row>
    <row r="858" spans="1:15" x14ac:dyDescent="0.3">
      <c r="A858" t="s">
        <v>889</v>
      </c>
      <c r="B858" s="1">
        <v>46677</v>
      </c>
      <c r="C858" t="s">
        <v>12</v>
      </c>
      <c r="D858" t="s">
        <v>18</v>
      </c>
      <c r="E858" t="s">
        <v>37</v>
      </c>
      <c r="F858" s="3">
        <v>3</v>
      </c>
      <c r="G858" s="4">
        <v>30518</v>
      </c>
      <c r="H858" s="4">
        <v>91554</v>
      </c>
      <c r="I858" s="4">
        <v>80415.850000000006</v>
      </c>
      <c r="J858" s="4">
        <v>11138.15</v>
      </c>
      <c r="K858" t="s">
        <v>26</v>
      </c>
      <c r="L858" s="3">
        <f>(Table1[[#This Row],[Profit]]/Table1[[#This Row],[Sales_Amount]])*100</f>
        <v>12.165661795224676</v>
      </c>
      <c r="M858" s="4" t="str" cm="1">
        <f t="array" ref="M858">_xlfn.IFS(Table1[[#This Row],[Sales_Amount]]&gt;200000,"High",AND(Table1[[#This Row],[Sales_Amount]]&gt;100000,Table1[[#This Row],[Sales_Amount]]&lt;200000),"Medium",Table1[[#This Row],[Sales_Amount]]&lt;100000,"Low")</f>
        <v>Low</v>
      </c>
      <c r="N858" t="str">
        <f>TEXT(Table1[[#This Row],[Order_Date]],"MMMM")</f>
        <v>October</v>
      </c>
      <c r="O858">
        <f>YEAR(Table1[[#This Row],[Order_Date]])</f>
        <v>2027</v>
      </c>
    </row>
    <row r="859" spans="1:15" x14ac:dyDescent="0.3">
      <c r="A859" t="s">
        <v>890</v>
      </c>
      <c r="B859" s="1">
        <v>46678</v>
      </c>
      <c r="C859" t="s">
        <v>12</v>
      </c>
      <c r="D859" t="s">
        <v>56</v>
      </c>
      <c r="E859" t="s">
        <v>19</v>
      </c>
      <c r="F859" s="3">
        <v>5</v>
      </c>
      <c r="G859" s="4">
        <v>31558</v>
      </c>
      <c r="H859" s="4">
        <v>157790</v>
      </c>
      <c r="I859" s="4">
        <v>137086.88</v>
      </c>
      <c r="J859" s="4">
        <v>20703.12</v>
      </c>
      <c r="K859" t="s">
        <v>26</v>
      </c>
      <c r="L859" s="3">
        <f>(Table1[[#This Row],[Profit]]/Table1[[#This Row],[Sales_Amount]])*100</f>
        <v>13.12067938399138</v>
      </c>
      <c r="M859" s="4" t="str" cm="1">
        <f t="array" ref="M859">_xlfn.IFS(Table1[[#This Row],[Sales_Amount]]&gt;200000,"High",AND(Table1[[#This Row],[Sales_Amount]]&gt;100000,Table1[[#This Row],[Sales_Amount]]&lt;200000),"Medium",Table1[[#This Row],[Sales_Amount]]&lt;100000,"Low")</f>
        <v>Medium</v>
      </c>
      <c r="N859" t="str">
        <f>TEXT(Table1[[#This Row],[Order_Date]],"MMMM")</f>
        <v>October</v>
      </c>
      <c r="O859">
        <f>YEAR(Table1[[#This Row],[Order_Date]])</f>
        <v>2027</v>
      </c>
    </row>
    <row r="860" spans="1:15" x14ac:dyDescent="0.3">
      <c r="A860" t="s">
        <v>891</v>
      </c>
      <c r="B860" s="1">
        <v>46679</v>
      </c>
      <c r="C860" t="s">
        <v>17</v>
      </c>
      <c r="D860" t="s">
        <v>44</v>
      </c>
      <c r="E860" t="s">
        <v>14</v>
      </c>
      <c r="F860" s="3">
        <v>8</v>
      </c>
      <c r="G860" s="4">
        <v>3126</v>
      </c>
      <c r="H860" s="4">
        <v>25008</v>
      </c>
      <c r="I860" s="4">
        <v>16050.81</v>
      </c>
      <c r="J860" s="4">
        <v>8957.19</v>
      </c>
      <c r="K860" t="s">
        <v>15</v>
      </c>
      <c r="L860" s="3">
        <f>(Table1[[#This Row],[Profit]]/Table1[[#This Row],[Sales_Amount]])*100</f>
        <v>35.817298464491365</v>
      </c>
      <c r="M860" s="4" t="str" cm="1">
        <f t="array" ref="M860">_xlfn.IFS(Table1[[#This Row],[Sales_Amount]]&gt;200000,"High",AND(Table1[[#This Row],[Sales_Amount]]&gt;100000,Table1[[#This Row],[Sales_Amount]]&lt;200000),"Medium",Table1[[#This Row],[Sales_Amount]]&lt;100000,"Low")</f>
        <v>Low</v>
      </c>
      <c r="N860" t="str">
        <f>TEXT(Table1[[#This Row],[Order_Date]],"MMMM")</f>
        <v>October</v>
      </c>
      <c r="O860">
        <f>YEAR(Table1[[#This Row],[Order_Date]])</f>
        <v>2027</v>
      </c>
    </row>
    <row r="861" spans="1:15" x14ac:dyDescent="0.3">
      <c r="A861" t="s">
        <v>892</v>
      </c>
      <c r="B861" s="1">
        <v>46680</v>
      </c>
      <c r="C861" t="s">
        <v>40</v>
      </c>
      <c r="D861" t="s">
        <v>18</v>
      </c>
      <c r="E861" t="s">
        <v>25</v>
      </c>
      <c r="F861" s="3">
        <v>4</v>
      </c>
      <c r="G861" s="4">
        <v>29727</v>
      </c>
      <c r="H861" s="4">
        <v>118908</v>
      </c>
      <c r="I861" s="4">
        <v>84093.89</v>
      </c>
      <c r="J861" s="4">
        <v>34814.11</v>
      </c>
      <c r="K861" t="s">
        <v>23</v>
      </c>
      <c r="L861" s="3">
        <f>(Table1[[#This Row],[Profit]]/Table1[[#This Row],[Sales_Amount]])*100</f>
        <v>29.278189861069066</v>
      </c>
      <c r="M861" s="4" t="str" cm="1">
        <f t="array" ref="M861">_xlfn.IFS(Table1[[#This Row],[Sales_Amount]]&gt;200000,"High",AND(Table1[[#This Row],[Sales_Amount]]&gt;100000,Table1[[#This Row],[Sales_Amount]]&lt;200000),"Medium",Table1[[#This Row],[Sales_Amount]]&lt;100000,"Low")</f>
        <v>Medium</v>
      </c>
      <c r="N861" t="str">
        <f>TEXT(Table1[[#This Row],[Order_Date]],"MMMM")</f>
        <v>October</v>
      </c>
      <c r="O861">
        <f>YEAR(Table1[[#This Row],[Order_Date]])</f>
        <v>2027</v>
      </c>
    </row>
    <row r="862" spans="1:15" x14ac:dyDescent="0.3">
      <c r="A862" t="s">
        <v>893</v>
      </c>
      <c r="B862" s="1">
        <v>46681</v>
      </c>
      <c r="C862" t="s">
        <v>17</v>
      </c>
      <c r="D862" t="s">
        <v>56</v>
      </c>
      <c r="E862" t="s">
        <v>25</v>
      </c>
      <c r="F862" s="3">
        <v>4</v>
      </c>
      <c r="G862" s="4">
        <v>18714</v>
      </c>
      <c r="H862" s="4">
        <v>74856</v>
      </c>
      <c r="I862" s="4">
        <v>49308.75</v>
      </c>
      <c r="J862" s="4">
        <v>25547.25</v>
      </c>
      <c r="K862" t="s">
        <v>15</v>
      </c>
      <c r="L862" s="3">
        <f>(Table1[[#This Row],[Profit]]/Table1[[#This Row],[Sales_Amount]])*100</f>
        <v>34.128526771401091</v>
      </c>
      <c r="M862" s="4" t="str" cm="1">
        <f t="array" ref="M862">_xlfn.IFS(Table1[[#This Row],[Sales_Amount]]&gt;200000,"High",AND(Table1[[#This Row],[Sales_Amount]]&gt;100000,Table1[[#This Row],[Sales_Amount]]&lt;200000),"Medium",Table1[[#This Row],[Sales_Amount]]&lt;100000,"Low")</f>
        <v>Low</v>
      </c>
      <c r="N862" t="str">
        <f>TEXT(Table1[[#This Row],[Order_Date]],"MMMM")</f>
        <v>October</v>
      </c>
      <c r="O862">
        <f>YEAR(Table1[[#This Row],[Order_Date]])</f>
        <v>2027</v>
      </c>
    </row>
    <row r="863" spans="1:15" x14ac:dyDescent="0.3">
      <c r="A863" t="s">
        <v>894</v>
      </c>
      <c r="B863" s="1">
        <v>46682</v>
      </c>
      <c r="C863" t="s">
        <v>17</v>
      </c>
      <c r="D863" t="s">
        <v>34</v>
      </c>
      <c r="E863" t="s">
        <v>37</v>
      </c>
      <c r="F863" s="3">
        <v>4</v>
      </c>
      <c r="G863" s="4">
        <v>32643</v>
      </c>
      <c r="H863" s="4">
        <v>130572</v>
      </c>
      <c r="I863" s="4">
        <v>90790.28</v>
      </c>
      <c r="J863" s="4">
        <v>39781.72</v>
      </c>
      <c r="K863" t="s">
        <v>58</v>
      </c>
      <c r="L863" s="3">
        <f>(Table1[[#This Row],[Profit]]/Table1[[#This Row],[Sales_Amount]])*100</f>
        <v>30.467267101675706</v>
      </c>
      <c r="M863" s="4" t="str" cm="1">
        <f t="array" ref="M863">_xlfn.IFS(Table1[[#This Row],[Sales_Amount]]&gt;200000,"High",AND(Table1[[#This Row],[Sales_Amount]]&gt;100000,Table1[[#This Row],[Sales_Amount]]&lt;200000),"Medium",Table1[[#This Row],[Sales_Amount]]&lt;100000,"Low")</f>
        <v>Medium</v>
      </c>
      <c r="N863" t="str">
        <f>TEXT(Table1[[#This Row],[Order_Date]],"MMMM")</f>
        <v>October</v>
      </c>
      <c r="O863">
        <f>YEAR(Table1[[#This Row],[Order_Date]])</f>
        <v>2027</v>
      </c>
    </row>
    <row r="864" spans="1:15" x14ac:dyDescent="0.3">
      <c r="A864" t="s">
        <v>895</v>
      </c>
      <c r="B864" s="1">
        <v>46683</v>
      </c>
      <c r="C864" t="s">
        <v>17</v>
      </c>
      <c r="D864" t="s">
        <v>44</v>
      </c>
      <c r="E864" t="s">
        <v>19</v>
      </c>
      <c r="F864" s="3">
        <v>7</v>
      </c>
      <c r="G864" s="4">
        <v>24724</v>
      </c>
      <c r="H864" s="4">
        <v>173068</v>
      </c>
      <c r="I864" s="4">
        <v>123887.92</v>
      </c>
      <c r="J864" s="4">
        <v>49180.08</v>
      </c>
      <c r="K864" t="s">
        <v>26</v>
      </c>
      <c r="L864" s="3">
        <f>(Table1[[#This Row],[Profit]]/Table1[[#This Row],[Sales_Amount]])*100</f>
        <v>28.416622368086536</v>
      </c>
      <c r="M864" s="4" t="str" cm="1">
        <f t="array" ref="M864">_xlfn.IFS(Table1[[#This Row],[Sales_Amount]]&gt;200000,"High",AND(Table1[[#This Row],[Sales_Amount]]&gt;100000,Table1[[#This Row],[Sales_Amount]]&lt;200000),"Medium",Table1[[#This Row],[Sales_Amount]]&lt;100000,"Low")</f>
        <v>Medium</v>
      </c>
      <c r="N864" t="str">
        <f>TEXT(Table1[[#This Row],[Order_Date]],"MMMM")</f>
        <v>October</v>
      </c>
      <c r="O864">
        <f>YEAR(Table1[[#This Row],[Order_Date]])</f>
        <v>2027</v>
      </c>
    </row>
    <row r="865" spans="1:15" x14ac:dyDescent="0.3">
      <c r="A865" t="s">
        <v>896</v>
      </c>
      <c r="B865" s="1">
        <v>46684</v>
      </c>
      <c r="C865" t="s">
        <v>28</v>
      </c>
      <c r="D865" t="s">
        <v>21</v>
      </c>
      <c r="E865" t="s">
        <v>32</v>
      </c>
      <c r="F865" s="3">
        <v>8</v>
      </c>
      <c r="G865" s="4">
        <v>37267</v>
      </c>
      <c r="H865" s="4">
        <v>298136</v>
      </c>
      <c r="I865" s="4">
        <v>186716.49</v>
      </c>
      <c r="J865" s="4">
        <v>111419.51</v>
      </c>
      <c r="K865" t="s">
        <v>58</v>
      </c>
      <c r="L865" s="3">
        <f>(Table1[[#This Row],[Profit]]/Table1[[#This Row],[Sales_Amount]])*100</f>
        <v>37.372041618590174</v>
      </c>
      <c r="M865" s="4" t="str" cm="1">
        <f t="array" ref="M865">_xlfn.IFS(Table1[[#This Row],[Sales_Amount]]&gt;200000,"High",AND(Table1[[#This Row],[Sales_Amount]]&gt;100000,Table1[[#This Row],[Sales_Amount]]&lt;200000),"Medium",Table1[[#This Row],[Sales_Amount]]&lt;100000,"Low")</f>
        <v>High</v>
      </c>
      <c r="N865" t="str">
        <f>TEXT(Table1[[#This Row],[Order_Date]],"MMMM")</f>
        <v>October</v>
      </c>
      <c r="O865">
        <f>YEAR(Table1[[#This Row],[Order_Date]])</f>
        <v>2027</v>
      </c>
    </row>
    <row r="866" spans="1:15" x14ac:dyDescent="0.3">
      <c r="A866" t="s">
        <v>897</v>
      </c>
      <c r="B866" s="1">
        <v>46685</v>
      </c>
      <c r="C866" t="s">
        <v>12</v>
      </c>
      <c r="D866" t="s">
        <v>29</v>
      </c>
      <c r="E866" t="s">
        <v>22</v>
      </c>
      <c r="F866" s="3">
        <v>7</v>
      </c>
      <c r="G866" s="4">
        <v>48249</v>
      </c>
      <c r="H866" s="4">
        <v>337743</v>
      </c>
      <c r="I866" s="4">
        <v>293474.57</v>
      </c>
      <c r="J866" s="4">
        <v>44268.43</v>
      </c>
      <c r="K866" t="s">
        <v>23</v>
      </c>
      <c r="L866" s="3">
        <f>(Table1[[#This Row],[Profit]]/Table1[[#This Row],[Sales_Amount]])*100</f>
        <v>13.107134714857155</v>
      </c>
      <c r="M866" s="4" t="str" cm="1">
        <f t="array" ref="M866">_xlfn.IFS(Table1[[#This Row],[Sales_Amount]]&gt;200000,"High",AND(Table1[[#This Row],[Sales_Amount]]&gt;100000,Table1[[#This Row],[Sales_Amount]]&lt;200000),"Medium",Table1[[#This Row],[Sales_Amount]]&lt;100000,"Low")</f>
        <v>High</v>
      </c>
      <c r="N866" t="str">
        <f>TEXT(Table1[[#This Row],[Order_Date]],"MMMM")</f>
        <v>October</v>
      </c>
      <c r="O866">
        <f>YEAR(Table1[[#This Row],[Order_Date]])</f>
        <v>2027</v>
      </c>
    </row>
    <row r="867" spans="1:15" x14ac:dyDescent="0.3">
      <c r="A867" t="s">
        <v>898</v>
      </c>
      <c r="B867" s="1">
        <v>46686</v>
      </c>
      <c r="C867" t="s">
        <v>17</v>
      </c>
      <c r="D867" t="s">
        <v>21</v>
      </c>
      <c r="E867" t="s">
        <v>32</v>
      </c>
      <c r="F867" s="3">
        <v>8</v>
      </c>
      <c r="G867" s="4">
        <v>34926</v>
      </c>
      <c r="H867" s="4">
        <v>279408</v>
      </c>
      <c r="I867" s="4">
        <v>250347.19</v>
      </c>
      <c r="J867" s="4">
        <v>29060.81</v>
      </c>
      <c r="K867" t="s">
        <v>15</v>
      </c>
      <c r="L867" s="3">
        <f>(Table1[[#This Row],[Profit]]/Table1[[#This Row],[Sales_Amount]])*100</f>
        <v>10.400851085151464</v>
      </c>
      <c r="M867" s="4" t="str" cm="1">
        <f t="array" ref="M867">_xlfn.IFS(Table1[[#This Row],[Sales_Amount]]&gt;200000,"High",AND(Table1[[#This Row],[Sales_Amount]]&gt;100000,Table1[[#This Row],[Sales_Amount]]&lt;200000),"Medium",Table1[[#This Row],[Sales_Amount]]&lt;100000,"Low")</f>
        <v>High</v>
      </c>
      <c r="N867" t="str">
        <f>TEXT(Table1[[#This Row],[Order_Date]],"MMMM")</f>
        <v>October</v>
      </c>
      <c r="O867">
        <f>YEAR(Table1[[#This Row],[Order_Date]])</f>
        <v>2027</v>
      </c>
    </row>
    <row r="868" spans="1:15" x14ac:dyDescent="0.3">
      <c r="A868" t="s">
        <v>899</v>
      </c>
      <c r="B868" s="1">
        <v>46687</v>
      </c>
      <c r="C868" t="s">
        <v>28</v>
      </c>
      <c r="D868" t="s">
        <v>13</v>
      </c>
      <c r="E868" t="s">
        <v>37</v>
      </c>
      <c r="F868" s="3">
        <v>5</v>
      </c>
      <c r="G868" s="4">
        <v>27665</v>
      </c>
      <c r="H868" s="4">
        <v>138325</v>
      </c>
      <c r="I868" s="4">
        <v>90252.62</v>
      </c>
      <c r="J868" s="4">
        <v>48072.38</v>
      </c>
      <c r="K868" t="s">
        <v>23</v>
      </c>
      <c r="L868" s="3">
        <f>(Table1[[#This Row],[Profit]]/Table1[[#This Row],[Sales_Amount]])*100</f>
        <v>34.753211639255376</v>
      </c>
      <c r="M868" s="4" t="str" cm="1">
        <f t="array" ref="M868">_xlfn.IFS(Table1[[#This Row],[Sales_Amount]]&gt;200000,"High",AND(Table1[[#This Row],[Sales_Amount]]&gt;100000,Table1[[#This Row],[Sales_Amount]]&lt;200000),"Medium",Table1[[#This Row],[Sales_Amount]]&lt;100000,"Low")</f>
        <v>Medium</v>
      </c>
      <c r="N868" t="str">
        <f>TEXT(Table1[[#This Row],[Order_Date]],"MMMM")</f>
        <v>October</v>
      </c>
      <c r="O868">
        <f>YEAR(Table1[[#This Row],[Order_Date]])</f>
        <v>2027</v>
      </c>
    </row>
    <row r="869" spans="1:15" x14ac:dyDescent="0.3">
      <c r="A869" t="s">
        <v>900</v>
      </c>
      <c r="B869" s="1">
        <v>46688</v>
      </c>
      <c r="C869" t="s">
        <v>40</v>
      </c>
      <c r="D869" t="s">
        <v>44</v>
      </c>
      <c r="E869" t="s">
        <v>37</v>
      </c>
      <c r="F869" s="3">
        <v>5</v>
      </c>
      <c r="G869" s="4">
        <v>36798</v>
      </c>
      <c r="H869" s="4">
        <v>183990</v>
      </c>
      <c r="I869" s="4">
        <v>137472.85</v>
      </c>
      <c r="J869" s="4">
        <v>46517.15</v>
      </c>
      <c r="K869" t="s">
        <v>58</v>
      </c>
      <c r="L869" s="3">
        <f>(Table1[[#This Row],[Profit]]/Table1[[#This Row],[Sales_Amount]])*100</f>
        <v>25.282433827925431</v>
      </c>
      <c r="M869" s="4" t="str" cm="1">
        <f t="array" ref="M869">_xlfn.IFS(Table1[[#This Row],[Sales_Amount]]&gt;200000,"High",AND(Table1[[#This Row],[Sales_Amount]]&gt;100000,Table1[[#This Row],[Sales_Amount]]&lt;200000),"Medium",Table1[[#This Row],[Sales_Amount]]&lt;100000,"Low")</f>
        <v>Medium</v>
      </c>
      <c r="N869" t="str">
        <f>TEXT(Table1[[#This Row],[Order_Date]],"MMMM")</f>
        <v>October</v>
      </c>
      <c r="O869">
        <f>YEAR(Table1[[#This Row],[Order_Date]])</f>
        <v>2027</v>
      </c>
    </row>
    <row r="870" spans="1:15" x14ac:dyDescent="0.3">
      <c r="A870" t="s">
        <v>901</v>
      </c>
      <c r="B870" s="1">
        <v>46689</v>
      </c>
      <c r="C870" t="s">
        <v>17</v>
      </c>
      <c r="D870" t="s">
        <v>13</v>
      </c>
      <c r="E870" t="s">
        <v>19</v>
      </c>
      <c r="F870" s="3">
        <v>8</v>
      </c>
      <c r="G870" s="4">
        <v>15214</v>
      </c>
      <c r="H870" s="4">
        <v>121712</v>
      </c>
      <c r="I870" s="4">
        <v>74007.23</v>
      </c>
      <c r="J870" s="4">
        <v>47704.77</v>
      </c>
      <c r="K870" t="s">
        <v>26</v>
      </c>
      <c r="L870" s="3">
        <f>(Table1[[#This Row],[Profit]]/Table1[[#This Row],[Sales_Amount]])*100</f>
        <v>39.194795911660314</v>
      </c>
      <c r="M870" s="4" t="str" cm="1">
        <f t="array" ref="M870">_xlfn.IFS(Table1[[#This Row],[Sales_Amount]]&gt;200000,"High",AND(Table1[[#This Row],[Sales_Amount]]&gt;100000,Table1[[#This Row],[Sales_Amount]]&lt;200000),"Medium",Table1[[#This Row],[Sales_Amount]]&lt;100000,"Low")</f>
        <v>Medium</v>
      </c>
      <c r="N870" t="str">
        <f>TEXT(Table1[[#This Row],[Order_Date]],"MMMM")</f>
        <v>October</v>
      </c>
      <c r="O870">
        <f>YEAR(Table1[[#This Row],[Order_Date]])</f>
        <v>2027</v>
      </c>
    </row>
    <row r="871" spans="1:15" x14ac:dyDescent="0.3">
      <c r="A871" t="s">
        <v>902</v>
      </c>
      <c r="B871" s="1">
        <v>46690</v>
      </c>
      <c r="C871" t="s">
        <v>40</v>
      </c>
      <c r="D871" t="s">
        <v>21</v>
      </c>
      <c r="E871" t="s">
        <v>19</v>
      </c>
      <c r="F871" s="3">
        <v>8</v>
      </c>
      <c r="G871" s="4">
        <v>8638</v>
      </c>
      <c r="H871" s="4">
        <v>69104</v>
      </c>
      <c r="I871" s="4">
        <v>55016.73</v>
      </c>
      <c r="J871" s="4">
        <v>14087.27</v>
      </c>
      <c r="K871" t="s">
        <v>23</v>
      </c>
      <c r="L871" s="3">
        <f>(Table1[[#This Row],[Profit]]/Table1[[#This Row],[Sales_Amount]])*100</f>
        <v>20.385607200740914</v>
      </c>
      <c r="M871" s="4" t="str" cm="1">
        <f t="array" ref="M871">_xlfn.IFS(Table1[[#This Row],[Sales_Amount]]&gt;200000,"High",AND(Table1[[#This Row],[Sales_Amount]]&gt;100000,Table1[[#This Row],[Sales_Amount]]&lt;200000),"Medium",Table1[[#This Row],[Sales_Amount]]&lt;100000,"Low")</f>
        <v>Low</v>
      </c>
      <c r="N871" t="str">
        <f>TEXT(Table1[[#This Row],[Order_Date]],"MMMM")</f>
        <v>October</v>
      </c>
      <c r="O871">
        <f>YEAR(Table1[[#This Row],[Order_Date]])</f>
        <v>2027</v>
      </c>
    </row>
    <row r="872" spans="1:15" x14ac:dyDescent="0.3">
      <c r="A872" t="s">
        <v>903</v>
      </c>
      <c r="B872" s="1">
        <v>46691</v>
      </c>
      <c r="C872" t="s">
        <v>40</v>
      </c>
      <c r="D872" t="s">
        <v>56</v>
      </c>
      <c r="E872" t="s">
        <v>19</v>
      </c>
      <c r="F872" s="3">
        <v>4</v>
      </c>
      <c r="G872" s="4">
        <v>2364</v>
      </c>
      <c r="H872" s="4">
        <v>9456</v>
      </c>
      <c r="I872" s="4">
        <v>6012.19</v>
      </c>
      <c r="J872" s="4">
        <v>3443.81</v>
      </c>
      <c r="K872" t="s">
        <v>15</v>
      </c>
      <c r="L872" s="3">
        <f>(Table1[[#This Row],[Profit]]/Table1[[#This Row],[Sales_Amount]])*100</f>
        <v>36.419310490693739</v>
      </c>
      <c r="M872" s="4" t="str" cm="1">
        <f t="array" ref="M872">_xlfn.IFS(Table1[[#This Row],[Sales_Amount]]&gt;200000,"High",AND(Table1[[#This Row],[Sales_Amount]]&gt;100000,Table1[[#This Row],[Sales_Amount]]&lt;200000),"Medium",Table1[[#This Row],[Sales_Amount]]&lt;100000,"Low")</f>
        <v>Low</v>
      </c>
      <c r="N872" t="str">
        <f>TEXT(Table1[[#This Row],[Order_Date]],"MMMM")</f>
        <v>October</v>
      </c>
      <c r="O872">
        <f>YEAR(Table1[[#This Row],[Order_Date]])</f>
        <v>2027</v>
      </c>
    </row>
    <row r="873" spans="1:15" x14ac:dyDescent="0.3">
      <c r="A873" t="s">
        <v>904</v>
      </c>
      <c r="B873" s="1">
        <v>46692</v>
      </c>
      <c r="C873" t="s">
        <v>28</v>
      </c>
      <c r="D873" t="s">
        <v>44</v>
      </c>
      <c r="E873" t="s">
        <v>19</v>
      </c>
      <c r="F873" s="3">
        <v>6</v>
      </c>
      <c r="G873" s="4">
        <v>38580</v>
      </c>
      <c r="H873" s="4">
        <v>231480</v>
      </c>
      <c r="I873" s="4">
        <v>172254.86</v>
      </c>
      <c r="J873" s="4">
        <v>59225.14</v>
      </c>
      <c r="K873" t="s">
        <v>58</v>
      </c>
      <c r="L873" s="3">
        <f>(Table1[[#This Row],[Profit]]/Table1[[#This Row],[Sales_Amount]])*100</f>
        <v>25.585424226715052</v>
      </c>
      <c r="M873" s="4" t="str" cm="1">
        <f t="array" ref="M873">_xlfn.IFS(Table1[[#This Row],[Sales_Amount]]&gt;200000,"High",AND(Table1[[#This Row],[Sales_Amount]]&gt;100000,Table1[[#This Row],[Sales_Amount]]&lt;200000),"Medium",Table1[[#This Row],[Sales_Amount]]&lt;100000,"Low")</f>
        <v>High</v>
      </c>
      <c r="N873" t="str">
        <f>TEXT(Table1[[#This Row],[Order_Date]],"MMMM")</f>
        <v>November</v>
      </c>
      <c r="O873">
        <f>YEAR(Table1[[#This Row],[Order_Date]])</f>
        <v>2027</v>
      </c>
    </row>
    <row r="874" spans="1:15" x14ac:dyDescent="0.3">
      <c r="A874" t="s">
        <v>905</v>
      </c>
      <c r="B874" s="1">
        <v>46693</v>
      </c>
      <c r="C874" t="s">
        <v>17</v>
      </c>
      <c r="D874" t="s">
        <v>44</v>
      </c>
      <c r="E874" t="s">
        <v>14</v>
      </c>
      <c r="F874" s="3">
        <v>6</v>
      </c>
      <c r="G874" s="4">
        <v>34088</v>
      </c>
      <c r="H874" s="4">
        <v>204528</v>
      </c>
      <c r="I874" s="4">
        <v>167689.89000000001</v>
      </c>
      <c r="J874" s="4">
        <v>36838.11</v>
      </c>
      <c r="K874" t="s">
        <v>23</v>
      </c>
      <c r="L874" s="3">
        <f>(Table1[[#This Row],[Profit]]/Table1[[#This Row],[Sales_Amount]])*100</f>
        <v>18.011279629195027</v>
      </c>
      <c r="M874" s="4" t="str" cm="1">
        <f t="array" ref="M874">_xlfn.IFS(Table1[[#This Row],[Sales_Amount]]&gt;200000,"High",AND(Table1[[#This Row],[Sales_Amount]]&gt;100000,Table1[[#This Row],[Sales_Amount]]&lt;200000),"Medium",Table1[[#This Row],[Sales_Amount]]&lt;100000,"Low")</f>
        <v>High</v>
      </c>
      <c r="N874" t="str">
        <f>TEXT(Table1[[#This Row],[Order_Date]],"MMMM")</f>
        <v>November</v>
      </c>
      <c r="O874">
        <f>YEAR(Table1[[#This Row],[Order_Date]])</f>
        <v>2027</v>
      </c>
    </row>
    <row r="875" spans="1:15" x14ac:dyDescent="0.3">
      <c r="A875" t="s">
        <v>906</v>
      </c>
      <c r="B875" s="1">
        <v>46694</v>
      </c>
      <c r="C875" t="s">
        <v>12</v>
      </c>
      <c r="D875" t="s">
        <v>34</v>
      </c>
      <c r="E875" t="s">
        <v>14</v>
      </c>
      <c r="F875" s="3">
        <v>3</v>
      </c>
      <c r="G875" s="4">
        <v>21450</v>
      </c>
      <c r="H875" s="4">
        <v>64350</v>
      </c>
      <c r="I875" s="4">
        <v>47510.45</v>
      </c>
      <c r="J875" s="4">
        <v>16839.55</v>
      </c>
      <c r="K875" t="s">
        <v>23</v>
      </c>
      <c r="L875" s="3">
        <f>(Table1[[#This Row],[Profit]]/Table1[[#This Row],[Sales_Amount]])*100</f>
        <v>26.168686868686869</v>
      </c>
      <c r="M875" s="4" t="str" cm="1">
        <f t="array" ref="M875">_xlfn.IFS(Table1[[#This Row],[Sales_Amount]]&gt;200000,"High",AND(Table1[[#This Row],[Sales_Amount]]&gt;100000,Table1[[#This Row],[Sales_Amount]]&lt;200000),"Medium",Table1[[#This Row],[Sales_Amount]]&lt;100000,"Low")</f>
        <v>Low</v>
      </c>
      <c r="N875" t="str">
        <f>TEXT(Table1[[#This Row],[Order_Date]],"MMMM")</f>
        <v>November</v>
      </c>
      <c r="O875">
        <f>YEAR(Table1[[#This Row],[Order_Date]])</f>
        <v>2027</v>
      </c>
    </row>
    <row r="876" spans="1:15" x14ac:dyDescent="0.3">
      <c r="A876" t="s">
        <v>907</v>
      </c>
      <c r="B876" s="1">
        <v>46695</v>
      </c>
      <c r="C876" t="s">
        <v>40</v>
      </c>
      <c r="D876" t="s">
        <v>18</v>
      </c>
      <c r="E876" t="s">
        <v>32</v>
      </c>
      <c r="F876" s="3">
        <v>6</v>
      </c>
      <c r="G876" s="4">
        <v>27993</v>
      </c>
      <c r="H876" s="4">
        <v>167958</v>
      </c>
      <c r="I876" s="4">
        <v>132833.64000000001</v>
      </c>
      <c r="J876" s="4">
        <v>35124.36</v>
      </c>
      <c r="K876" t="s">
        <v>26</v>
      </c>
      <c r="L876" s="3">
        <f>(Table1[[#This Row],[Profit]]/Table1[[#This Row],[Sales_Amount]])*100</f>
        <v>20.912585289179439</v>
      </c>
      <c r="M876" s="4" t="str" cm="1">
        <f t="array" ref="M876">_xlfn.IFS(Table1[[#This Row],[Sales_Amount]]&gt;200000,"High",AND(Table1[[#This Row],[Sales_Amount]]&gt;100000,Table1[[#This Row],[Sales_Amount]]&lt;200000),"Medium",Table1[[#This Row],[Sales_Amount]]&lt;100000,"Low")</f>
        <v>Medium</v>
      </c>
      <c r="N876" t="str">
        <f>TEXT(Table1[[#This Row],[Order_Date]],"MMMM")</f>
        <v>November</v>
      </c>
      <c r="O876">
        <f>YEAR(Table1[[#This Row],[Order_Date]])</f>
        <v>2027</v>
      </c>
    </row>
    <row r="877" spans="1:15" x14ac:dyDescent="0.3">
      <c r="A877" t="s">
        <v>908</v>
      </c>
      <c r="B877" s="1">
        <v>46696</v>
      </c>
      <c r="C877" t="s">
        <v>12</v>
      </c>
      <c r="D877" t="s">
        <v>29</v>
      </c>
      <c r="E877" t="s">
        <v>25</v>
      </c>
      <c r="F877" s="3">
        <v>2</v>
      </c>
      <c r="G877" s="4">
        <v>34176</v>
      </c>
      <c r="H877" s="4">
        <v>68352</v>
      </c>
      <c r="I877" s="4">
        <v>44985.49</v>
      </c>
      <c r="J877" s="4">
        <v>23366.51</v>
      </c>
      <c r="K877" t="s">
        <v>23</v>
      </c>
      <c r="L877" s="3">
        <f>(Table1[[#This Row],[Profit]]/Table1[[#This Row],[Sales_Amount]])*100</f>
        <v>34.185554190074903</v>
      </c>
      <c r="M877" s="4" t="str" cm="1">
        <f t="array" ref="M877">_xlfn.IFS(Table1[[#This Row],[Sales_Amount]]&gt;200000,"High",AND(Table1[[#This Row],[Sales_Amount]]&gt;100000,Table1[[#This Row],[Sales_Amount]]&lt;200000),"Medium",Table1[[#This Row],[Sales_Amount]]&lt;100000,"Low")</f>
        <v>Low</v>
      </c>
      <c r="N877" t="str">
        <f>TEXT(Table1[[#This Row],[Order_Date]],"MMMM")</f>
        <v>November</v>
      </c>
      <c r="O877">
        <f>YEAR(Table1[[#This Row],[Order_Date]])</f>
        <v>2027</v>
      </c>
    </row>
    <row r="878" spans="1:15" x14ac:dyDescent="0.3">
      <c r="A878" t="s">
        <v>909</v>
      </c>
      <c r="B878" s="1">
        <v>46697</v>
      </c>
      <c r="C878" t="s">
        <v>40</v>
      </c>
      <c r="D878" t="s">
        <v>34</v>
      </c>
      <c r="E878" t="s">
        <v>32</v>
      </c>
      <c r="F878" s="3">
        <v>6</v>
      </c>
      <c r="G878" s="4">
        <v>45390</v>
      </c>
      <c r="H878" s="4">
        <v>272340</v>
      </c>
      <c r="I878" s="4">
        <v>228755.57</v>
      </c>
      <c r="J878" s="4">
        <v>43584.43</v>
      </c>
      <c r="K878" t="s">
        <v>15</v>
      </c>
      <c r="L878" s="3">
        <f>(Table1[[#This Row],[Profit]]/Table1[[#This Row],[Sales_Amount]])*100</f>
        <v>16.003682896379527</v>
      </c>
      <c r="M878" s="4" t="str" cm="1">
        <f t="array" ref="M878">_xlfn.IFS(Table1[[#This Row],[Sales_Amount]]&gt;200000,"High",AND(Table1[[#This Row],[Sales_Amount]]&gt;100000,Table1[[#This Row],[Sales_Amount]]&lt;200000),"Medium",Table1[[#This Row],[Sales_Amount]]&lt;100000,"Low")</f>
        <v>High</v>
      </c>
      <c r="N878" t="str">
        <f>TEXT(Table1[[#This Row],[Order_Date]],"MMMM")</f>
        <v>November</v>
      </c>
      <c r="O878">
        <f>YEAR(Table1[[#This Row],[Order_Date]])</f>
        <v>2027</v>
      </c>
    </row>
    <row r="879" spans="1:15" x14ac:dyDescent="0.3">
      <c r="A879" t="s">
        <v>910</v>
      </c>
      <c r="B879" s="1">
        <v>46698</v>
      </c>
      <c r="C879" t="s">
        <v>40</v>
      </c>
      <c r="D879" t="s">
        <v>34</v>
      </c>
      <c r="E879" t="s">
        <v>25</v>
      </c>
      <c r="F879" s="3">
        <v>6</v>
      </c>
      <c r="G879" s="4">
        <v>9918</v>
      </c>
      <c r="H879" s="4">
        <v>59508</v>
      </c>
      <c r="I879" s="4">
        <v>35935.050000000003</v>
      </c>
      <c r="J879" s="4">
        <v>23572.95</v>
      </c>
      <c r="K879" t="s">
        <v>58</v>
      </c>
      <c r="L879" s="3">
        <f>(Table1[[#This Row],[Profit]]/Table1[[#This Row],[Sales_Amount]])*100</f>
        <v>39.61307723331317</v>
      </c>
      <c r="M879" s="4" t="str" cm="1">
        <f t="array" ref="M879">_xlfn.IFS(Table1[[#This Row],[Sales_Amount]]&gt;200000,"High",AND(Table1[[#This Row],[Sales_Amount]]&gt;100000,Table1[[#This Row],[Sales_Amount]]&lt;200000),"Medium",Table1[[#This Row],[Sales_Amount]]&lt;100000,"Low")</f>
        <v>Low</v>
      </c>
      <c r="N879" t="str">
        <f>TEXT(Table1[[#This Row],[Order_Date]],"MMMM")</f>
        <v>November</v>
      </c>
      <c r="O879">
        <f>YEAR(Table1[[#This Row],[Order_Date]])</f>
        <v>2027</v>
      </c>
    </row>
    <row r="880" spans="1:15" x14ac:dyDescent="0.3">
      <c r="A880" t="s">
        <v>911</v>
      </c>
      <c r="B880" s="1">
        <v>46699</v>
      </c>
      <c r="C880" t="s">
        <v>12</v>
      </c>
      <c r="D880" t="s">
        <v>51</v>
      </c>
      <c r="E880" t="s">
        <v>32</v>
      </c>
      <c r="F880" s="3">
        <v>3</v>
      </c>
      <c r="G880" s="4">
        <v>7212</v>
      </c>
      <c r="H880" s="4">
        <v>21636</v>
      </c>
      <c r="I880" s="4">
        <v>14395.79</v>
      </c>
      <c r="J880" s="4">
        <v>7240.21</v>
      </c>
      <c r="K880" t="s">
        <v>15</v>
      </c>
      <c r="L880" s="3">
        <f>(Table1[[#This Row],[Profit]]/Table1[[#This Row],[Sales_Amount]])*100</f>
        <v>33.463717877611387</v>
      </c>
      <c r="M880" s="4" t="str" cm="1">
        <f t="array" ref="M880">_xlfn.IFS(Table1[[#This Row],[Sales_Amount]]&gt;200000,"High",AND(Table1[[#This Row],[Sales_Amount]]&gt;100000,Table1[[#This Row],[Sales_Amount]]&lt;200000),"Medium",Table1[[#This Row],[Sales_Amount]]&lt;100000,"Low")</f>
        <v>Low</v>
      </c>
      <c r="N880" t="str">
        <f>TEXT(Table1[[#This Row],[Order_Date]],"MMMM")</f>
        <v>November</v>
      </c>
      <c r="O880">
        <f>YEAR(Table1[[#This Row],[Order_Date]])</f>
        <v>2027</v>
      </c>
    </row>
    <row r="881" spans="1:15" x14ac:dyDescent="0.3">
      <c r="A881" t="s">
        <v>912</v>
      </c>
      <c r="B881" s="1">
        <v>46700</v>
      </c>
      <c r="C881" t="s">
        <v>17</v>
      </c>
      <c r="D881" t="s">
        <v>56</v>
      </c>
      <c r="E881" t="s">
        <v>37</v>
      </c>
      <c r="F881" s="3">
        <v>2</v>
      </c>
      <c r="G881" s="4">
        <v>8139</v>
      </c>
      <c r="H881" s="4">
        <v>16278</v>
      </c>
      <c r="I881" s="4">
        <v>13765.55</v>
      </c>
      <c r="J881" s="4">
        <v>2512.4499999999998</v>
      </c>
      <c r="K881" t="s">
        <v>26</v>
      </c>
      <c r="L881" s="3">
        <f>(Table1[[#This Row],[Profit]]/Table1[[#This Row],[Sales_Amount]])*100</f>
        <v>15.434635704632019</v>
      </c>
      <c r="M881" s="4" t="str" cm="1">
        <f t="array" ref="M881">_xlfn.IFS(Table1[[#This Row],[Sales_Amount]]&gt;200000,"High",AND(Table1[[#This Row],[Sales_Amount]]&gt;100000,Table1[[#This Row],[Sales_Amount]]&lt;200000),"Medium",Table1[[#This Row],[Sales_Amount]]&lt;100000,"Low")</f>
        <v>Low</v>
      </c>
      <c r="N881" t="str">
        <f>TEXT(Table1[[#This Row],[Order_Date]],"MMMM")</f>
        <v>November</v>
      </c>
      <c r="O881">
        <f>YEAR(Table1[[#This Row],[Order_Date]])</f>
        <v>2027</v>
      </c>
    </row>
    <row r="882" spans="1:15" x14ac:dyDescent="0.3">
      <c r="A882" t="s">
        <v>913</v>
      </c>
      <c r="B882" s="1">
        <v>46701</v>
      </c>
      <c r="C882" t="s">
        <v>40</v>
      </c>
      <c r="D882" t="s">
        <v>13</v>
      </c>
      <c r="E882" t="s">
        <v>19</v>
      </c>
      <c r="F882" s="3">
        <v>6</v>
      </c>
      <c r="G882" s="4">
        <v>9610</v>
      </c>
      <c r="H882" s="4">
        <v>57660</v>
      </c>
      <c r="I882" s="4">
        <v>48729.14</v>
      </c>
      <c r="J882" s="4">
        <v>8930.86</v>
      </c>
      <c r="K882" t="s">
        <v>26</v>
      </c>
      <c r="L882" s="3">
        <f>(Table1[[#This Row],[Profit]]/Table1[[#This Row],[Sales_Amount]])*100</f>
        <v>15.488831078737428</v>
      </c>
      <c r="M882" s="4" t="str" cm="1">
        <f t="array" ref="M882">_xlfn.IFS(Table1[[#This Row],[Sales_Amount]]&gt;200000,"High",AND(Table1[[#This Row],[Sales_Amount]]&gt;100000,Table1[[#This Row],[Sales_Amount]]&lt;200000),"Medium",Table1[[#This Row],[Sales_Amount]]&lt;100000,"Low")</f>
        <v>Low</v>
      </c>
      <c r="N882" t="str">
        <f>TEXT(Table1[[#This Row],[Order_Date]],"MMMM")</f>
        <v>November</v>
      </c>
      <c r="O882">
        <f>YEAR(Table1[[#This Row],[Order_Date]])</f>
        <v>2027</v>
      </c>
    </row>
    <row r="883" spans="1:15" x14ac:dyDescent="0.3">
      <c r="A883" t="s">
        <v>914</v>
      </c>
      <c r="B883" s="1">
        <v>46702</v>
      </c>
      <c r="C883" t="s">
        <v>12</v>
      </c>
      <c r="D883" t="s">
        <v>51</v>
      </c>
      <c r="E883" t="s">
        <v>19</v>
      </c>
      <c r="F883" s="3">
        <v>2</v>
      </c>
      <c r="G883" s="4">
        <v>15072</v>
      </c>
      <c r="H883" s="4">
        <v>30144</v>
      </c>
      <c r="I883" s="4">
        <v>19250.39</v>
      </c>
      <c r="J883" s="4">
        <v>10893.61</v>
      </c>
      <c r="K883" t="s">
        <v>26</v>
      </c>
      <c r="L883" s="3">
        <f>(Table1[[#This Row],[Profit]]/Table1[[#This Row],[Sales_Amount]])*100</f>
        <v>36.1385682059448</v>
      </c>
      <c r="M883" s="4" t="str" cm="1">
        <f t="array" ref="M883">_xlfn.IFS(Table1[[#This Row],[Sales_Amount]]&gt;200000,"High",AND(Table1[[#This Row],[Sales_Amount]]&gt;100000,Table1[[#This Row],[Sales_Amount]]&lt;200000),"Medium",Table1[[#This Row],[Sales_Amount]]&lt;100000,"Low")</f>
        <v>Low</v>
      </c>
      <c r="N883" t="str">
        <f>TEXT(Table1[[#This Row],[Order_Date]],"MMMM")</f>
        <v>November</v>
      </c>
      <c r="O883">
        <f>YEAR(Table1[[#This Row],[Order_Date]])</f>
        <v>2027</v>
      </c>
    </row>
    <row r="884" spans="1:15" x14ac:dyDescent="0.3">
      <c r="A884" t="s">
        <v>915</v>
      </c>
      <c r="B884" s="1">
        <v>46703</v>
      </c>
      <c r="C884" t="s">
        <v>17</v>
      </c>
      <c r="D884" t="s">
        <v>29</v>
      </c>
      <c r="E884" t="s">
        <v>22</v>
      </c>
      <c r="F884" s="3">
        <v>3</v>
      </c>
      <c r="G884" s="4">
        <v>5651</v>
      </c>
      <c r="H884" s="4">
        <v>16953</v>
      </c>
      <c r="I884" s="4">
        <v>12332.32</v>
      </c>
      <c r="J884" s="4">
        <v>4620.68</v>
      </c>
      <c r="K884" t="s">
        <v>15</v>
      </c>
      <c r="L884" s="3">
        <f>(Table1[[#This Row],[Profit]]/Table1[[#This Row],[Sales_Amount]])*100</f>
        <v>27.255824927741408</v>
      </c>
      <c r="M884" s="4" t="str" cm="1">
        <f t="array" ref="M884">_xlfn.IFS(Table1[[#This Row],[Sales_Amount]]&gt;200000,"High",AND(Table1[[#This Row],[Sales_Amount]]&gt;100000,Table1[[#This Row],[Sales_Amount]]&lt;200000),"Medium",Table1[[#This Row],[Sales_Amount]]&lt;100000,"Low")</f>
        <v>Low</v>
      </c>
      <c r="N884" t="str">
        <f>TEXT(Table1[[#This Row],[Order_Date]],"MMMM")</f>
        <v>November</v>
      </c>
      <c r="O884">
        <f>YEAR(Table1[[#This Row],[Order_Date]])</f>
        <v>2027</v>
      </c>
    </row>
    <row r="885" spans="1:15" x14ac:dyDescent="0.3">
      <c r="A885" t="s">
        <v>916</v>
      </c>
      <c r="B885" s="1">
        <v>46704</v>
      </c>
      <c r="C885" t="s">
        <v>17</v>
      </c>
      <c r="D885" t="s">
        <v>56</v>
      </c>
      <c r="E885" t="s">
        <v>37</v>
      </c>
      <c r="F885" s="3">
        <v>1</v>
      </c>
      <c r="G885" s="4">
        <v>13368</v>
      </c>
      <c r="H885" s="4">
        <v>13368</v>
      </c>
      <c r="I885" s="4">
        <v>8453.19</v>
      </c>
      <c r="J885" s="4">
        <v>4914.8100000000004</v>
      </c>
      <c r="K885" t="s">
        <v>15</v>
      </c>
      <c r="L885" s="3">
        <f>(Table1[[#This Row],[Profit]]/Table1[[#This Row],[Sales_Amount]])*100</f>
        <v>36.765484739676843</v>
      </c>
      <c r="M885" s="4" t="str" cm="1">
        <f t="array" ref="M885">_xlfn.IFS(Table1[[#This Row],[Sales_Amount]]&gt;200000,"High",AND(Table1[[#This Row],[Sales_Amount]]&gt;100000,Table1[[#This Row],[Sales_Amount]]&lt;200000),"Medium",Table1[[#This Row],[Sales_Amount]]&lt;100000,"Low")</f>
        <v>Low</v>
      </c>
      <c r="N885" t="str">
        <f>TEXT(Table1[[#This Row],[Order_Date]],"MMMM")</f>
        <v>November</v>
      </c>
      <c r="O885">
        <f>YEAR(Table1[[#This Row],[Order_Date]])</f>
        <v>2027</v>
      </c>
    </row>
    <row r="886" spans="1:15" x14ac:dyDescent="0.3">
      <c r="A886" t="s">
        <v>917</v>
      </c>
      <c r="B886" s="1">
        <v>46705</v>
      </c>
      <c r="C886" t="s">
        <v>17</v>
      </c>
      <c r="D886" t="s">
        <v>29</v>
      </c>
      <c r="E886" t="s">
        <v>14</v>
      </c>
      <c r="F886" s="3">
        <v>2</v>
      </c>
      <c r="G886" s="4">
        <v>20268</v>
      </c>
      <c r="H886" s="4">
        <v>40536</v>
      </c>
      <c r="I886" s="4">
        <v>32439.98</v>
      </c>
      <c r="J886" s="4">
        <v>8096.02</v>
      </c>
      <c r="K886" t="s">
        <v>23</v>
      </c>
      <c r="L886" s="3">
        <f>(Table1[[#This Row],[Profit]]/Table1[[#This Row],[Sales_Amount]])*100</f>
        <v>19.972419577659366</v>
      </c>
      <c r="M886" s="4" t="str" cm="1">
        <f t="array" ref="M886">_xlfn.IFS(Table1[[#This Row],[Sales_Amount]]&gt;200000,"High",AND(Table1[[#This Row],[Sales_Amount]]&gt;100000,Table1[[#This Row],[Sales_Amount]]&lt;200000),"Medium",Table1[[#This Row],[Sales_Amount]]&lt;100000,"Low")</f>
        <v>Low</v>
      </c>
      <c r="N886" t="str">
        <f>TEXT(Table1[[#This Row],[Order_Date]],"MMMM")</f>
        <v>November</v>
      </c>
      <c r="O886">
        <f>YEAR(Table1[[#This Row],[Order_Date]])</f>
        <v>2027</v>
      </c>
    </row>
    <row r="887" spans="1:15" x14ac:dyDescent="0.3">
      <c r="A887" t="s">
        <v>918</v>
      </c>
      <c r="B887" s="1">
        <v>46706</v>
      </c>
      <c r="C887" t="s">
        <v>17</v>
      </c>
      <c r="D887" t="s">
        <v>13</v>
      </c>
      <c r="E887" t="s">
        <v>22</v>
      </c>
      <c r="F887" s="3">
        <v>3</v>
      </c>
      <c r="G887" s="4">
        <v>44448</v>
      </c>
      <c r="H887" s="4">
        <v>133344</v>
      </c>
      <c r="I887" s="4">
        <v>94068.87</v>
      </c>
      <c r="J887" s="4">
        <v>39275.129999999997</v>
      </c>
      <c r="K887" t="s">
        <v>26</v>
      </c>
      <c r="L887" s="3">
        <f>(Table1[[#This Row],[Profit]]/Table1[[#This Row],[Sales_Amount]])*100</f>
        <v>29.45399118070554</v>
      </c>
      <c r="M887" s="4" t="str" cm="1">
        <f t="array" ref="M887">_xlfn.IFS(Table1[[#This Row],[Sales_Amount]]&gt;200000,"High",AND(Table1[[#This Row],[Sales_Amount]]&gt;100000,Table1[[#This Row],[Sales_Amount]]&lt;200000),"Medium",Table1[[#This Row],[Sales_Amount]]&lt;100000,"Low")</f>
        <v>Medium</v>
      </c>
      <c r="N887" t="str">
        <f>TEXT(Table1[[#This Row],[Order_Date]],"MMMM")</f>
        <v>November</v>
      </c>
      <c r="O887">
        <f>YEAR(Table1[[#This Row],[Order_Date]])</f>
        <v>2027</v>
      </c>
    </row>
    <row r="888" spans="1:15" x14ac:dyDescent="0.3">
      <c r="A888" t="s">
        <v>919</v>
      </c>
      <c r="B888" s="1">
        <v>46707</v>
      </c>
      <c r="C888" t="s">
        <v>12</v>
      </c>
      <c r="D888" t="s">
        <v>29</v>
      </c>
      <c r="E888" t="s">
        <v>32</v>
      </c>
      <c r="F888" s="3">
        <v>6</v>
      </c>
      <c r="G888" s="4">
        <v>11022</v>
      </c>
      <c r="H888" s="4">
        <v>66132</v>
      </c>
      <c r="I888" s="4">
        <v>56644.800000000003</v>
      </c>
      <c r="J888" s="4">
        <v>9487.2000000000007</v>
      </c>
      <c r="K888" t="s">
        <v>15</v>
      </c>
      <c r="L888" s="3">
        <f>(Table1[[#This Row],[Profit]]/Table1[[#This Row],[Sales_Amount]])*100</f>
        <v>14.345853747051354</v>
      </c>
      <c r="M888" s="4" t="str" cm="1">
        <f t="array" ref="M888">_xlfn.IFS(Table1[[#This Row],[Sales_Amount]]&gt;200000,"High",AND(Table1[[#This Row],[Sales_Amount]]&gt;100000,Table1[[#This Row],[Sales_Amount]]&lt;200000),"Medium",Table1[[#This Row],[Sales_Amount]]&lt;100000,"Low")</f>
        <v>Low</v>
      </c>
      <c r="N888" t="str">
        <f>TEXT(Table1[[#This Row],[Order_Date]],"MMMM")</f>
        <v>November</v>
      </c>
      <c r="O888">
        <f>YEAR(Table1[[#This Row],[Order_Date]])</f>
        <v>2027</v>
      </c>
    </row>
    <row r="889" spans="1:15" x14ac:dyDescent="0.3">
      <c r="A889" t="s">
        <v>920</v>
      </c>
      <c r="B889" s="1">
        <v>46708</v>
      </c>
      <c r="C889" t="s">
        <v>40</v>
      </c>
      <c r="D889" t="s">
        <v>13</v>
      </c>
      <c r="E889" t="s">
        <v>14</v>
      </c>
      <c r="F889" s="3">
        <v>9</v>
      </c>
      <c r="G889" s="4">
        <v>14721</v>
      </c>
      <c r="H889" s="4">
        <v>132489</v>
      </c>
      <c r="I889" s="4">
        <v>107944.55</v>
      </c>
      <c r="J889" s="4">
        <v>24544.45</v>
      </c>
      <c r="K889" t="s">
        <v>15</v>
      </c>
      <c r="L889" s="3">
        <f>(Table1[[#This Row],[Profit]]/Table1[[#This Row],[Sales_Amount]])*100</f>
        <v>18.525651186136209</v>
      </c>
      <c r="M889" s="4" t="str" cm="1">
        <f t="array" ref="M889">_xlfn.IFS(Table1[[#This Row],[Sales_Amount]]&gt;200000,"High",AND(Table1[[#This Row],[Sales_Amount]]&gt;100000,Table1[[#This Row],[Sales_Amount]]&lt;200000),"Medium",Table1[[#This Row],[Sales_Amount]]&lt;100000,"Low")</f>
        <v>Medium</v>
      </c>
      <c r="N889" t="str">
        <f>TEXT(Table1[[#This Row],[Order_Date]],"MMMM")</f>
        <v>November</v>
      </c>
      <c r="O889">
        <f>YEAR(Table1[[#This Row],[Order_Date]])</f>
        <v>2027</v>
      </c>
    </row>
    <row r="890" spans="1:15" x14ac:dyDescent="0.3">
      <c r="A890" t="s">
        <v>921</v>
      </c>
      <c r="B890" s="1">
        <v>46709</v>
      </c>
      <c r="C890" t="s">
        <v>12</v>
      </c>
      <c r="D890" t="s">
        <v>56</v>
      </c>
      <c r="E890" t="s">
        <v>22</v>
      </c>
      <c r="F890" s="3">
        <v>9</v>
      </c>
      <c r="G890" s="4">
        <v>46883</v>
      </c>
      <c r="H890" s="4">
        <v>421947</v>
      </c>
      <c r="I890" s="4">
        <v>313259.63</v>
      </c>
      <c r="J890" s="4">
        <v>108687.37</v>
      </c>
      <c r="K890" t="s">
        <v>15</v>
      </c>
      <c r="L890" s="3">
        <f>(Table1[[#This Row],[Profit]]/Table1[[#This Row],[Sales_Amount]])*100</f>
        <v>25.758536024666608</v>
      </c>
      <c r="M890" s="4" t="str" cm="1">
        <f t="array" ref="M890">_xlfn.IFS(Table1[[#This Row],[Sales_Amount]]&gt;200000,"High",AND(Table1[[#This Row],[Sales_Amount]]&gt;100000,Table1[[#This Row],[Sales_Amount]]&lt;200000),"Medium",Table1[[#This Row],[Sales_Amount]]&lt;100000,"Low")</f>
        <v>High</v>
      </c>
      <c r="N890" t="str">
        <f>TEXT(Table1[[#This Row],[Order_Date]],"MMMM")</f>
        <v>November</v>
      </c>
      <c r="O890">
        <f>YEAR(Table1[[#This Row],[Order_Date]])</f>
        <v>2027</v>
      </c>
    </row>
    <row r="891" spans="1:15" x14ac:dyDescent="0.3">
      <c r="A891" t="s">
        <v>922</v>
      </c>
      <c r="B891" s="1">
        <v>46710</v>
      </c>
      <c r="C891" t="s">
        <v>12</v>
      </c>
      <c r="D891" t="s">
        <v>21</v>
      </c>
      <c r="E891" t="s">
        <v>32</v>
      </c>
      <c r="F891" s="3">
        <v>7</v>
      </c>
      <c r="G891" s="4">
        <v>28293</v>
      </c>
      <c r="H891" s="4">
        <v>198051</v>
      </c>
      <c r="I891" s="4">
        <v>131561.75</v>
      </c>
      <c r="J891" s="4">
        <v>66489.25</v>
      </c>
      <c r="K891" t="s">
        <v>15</v>
      </c>
      <c r="L891" s="3">
        <f>(Table1[[#This Row],[Profit]]/Table1[[#This Row],[Sales_Amount]])*100</f>
        <v>33.571782015743416</v>
      </c>
      <c r="M891" s="4" t="str" cm="1">
        <f t="array" ref="M891">_xlfn.IFS(Table1[[#This Row],[Sales_Amount]]&gt;200000,"High",AND(Table1[[#This Row],[Sales_Amount]]&gt;100000,Table1[[#This Row],[Sales_Amount]]&lt;200000),"Medium",Table1[[#This Row],[Sales_Amount]]&lt;100000,"Low")</f>
        <v>Medium</v>
      </c>
      <c r="N891" t="str">
        <f>TEXT(Table1[[#This Row],[Order_Date]],"MMMM")</f>
        <v>November</v>
      </c>
      <c r="O891">
        <f>YEAR(Table1[[#This Row],[Order_Date]])</f>
        <v>2027</v>
      </c>
    </row>
    <row r="892" spans="1:15" x14ac:dyDescent="0.3">
      <c r="A892" t="s">
        <v>923</v>
      </c>
      <c r="B892" s="1">
        <v>46711</v>
      </c>
      <c r="C892" t="s">
        <v>28</v>
      </c>
      <c r="D892" t="s">
        <v>34</v>
      </c>
      <c r="E892" t="s">
        <v>14</v>
      </c>
      <c r="F892" s="3">
        <v>8</v>
      </c>
      <c r="G892" s="4">
        <v>7729</v>
      </c>
      <c r="H892" s="4">
        <v>61832</v>
      </c>
      <c r="I892" s="4">
        <v>46739.94</v>
      </c>
      <c r="J892" s="4">
        <v>15092.06</v>
      </c>
      <c r="K892" t="s">
        <v>26</v>
      </c>
      <c r="L892" s="3">
        <f>(Table1[[#This Row],[Profit]]/Table1[[#This Row],[Sales_Amount]])*100</f>
        <v>24.408170526588176</v>
      </c>
      <c r="M892" s="4" t="str" cm="1">
        <f t="array" ref="M892">_xlfn.IFS(Table1[[#This Row],[Sales_Amount]]&gt;200000,"High",AND(Table1[[#This Row],[Sales_Amount]]&gt;100000,Table1[[#This Row],[Sales_Amount]]&lt;200000),"Medium",Table1[[#This Row],[Sales_Amount]]&lt;100000,"Low")</f>
        <v>Low</v>
      </c>
      <c r="N892" t="str">
        <f>TEXT(Table1[[#This Row],[Order_Date]],"MMMM")</f>
        <v>November</v>
      </c>
      <c r="O892">
        <f>YEAR(Table1[[#This Row],[Order_Date]])</f>
        <v>2027</v>
      </c>
    </row>
    <row r="893" spans="1:15" x14ac:dyDescent="0.3">
      <c r="A893" t="s">
        <v>924</v>
      </c>
      <c r="B893" s="1">
        <v>46712</v>
      </c>
      <c r="C893" t="s">
        <v>17</v>
      </c>
      <c r="D893" t="s">
        <v>21</v>
      </c>
      <c r="E893" t="s">
        <v>19</v>
      </c>
      <c r="F893" s="3">
        <v>1</v>
      </c>
      <c r="G893" s="4">
        <v>5890</v>
      </c>
      <c r="H893" s="4">
        <v>5890</v>
      </c>
      <c r="I893" s="4">
        <v>4113.78</v>
      </c>
      <c r="J893" s="4">
        <v>1776.22</v>
      </c>
      <c r="K893" t="s">
        <v>26</v>
      </c>
      <c r="L893" s="3">
        <f>(Table1[[#This Row],[Profit]]/Table1[[#This Row],[Sales_Amount]])*100</f>
        <v>30.15653650254669</v>
      </c>
      <c r="M893" s="4" t="str" cm="1">
        <f t="array" ref="M893">_xlfn.IFS(Table1[[#This Row],[Sales_Amount]]&gt;200000,"High",AND(Table1[[#This Row],[Sales_Amount]]&gt;100000,Table1[[#This Row],[Sales_Amount]]&lt;200000),"Medium",Table1[[#This Row],[Sales_Amount]]&lt;100000,"Low")</f>
        <v>Low</v>
      </c>
      <c r="N893" t="str">
        <f>TEXT(Table1[[#This Row],[Order_Date]],"MMMM")</f>
        <v>November</v>
      </c>
      <c r="O893">
        <f>YEAR(Table1[[#This Row],[Order_Date]])</f>
        <v>2027</v>
      </c>
    </row>
    <row r="894" spans="1:15" x14ac:dyDescent="0.3">
      <c r="A894" t="s">
        <v>925</v>
      </c>
      <c r="B894" s="1">
        <v>46713</v>
      </c>
      <c r="C894" t="s">
        <v>28</v>
      </c>
      <c r="D894" t="s">
        <v>51</v>
      </c>
      <c r="E894" t="s">
        <v>25</v>
      </c>
      <c r="F894" s="3">
        <v>5</v>
      </c>
      <c r="G894" s="4">
        <v>45526</v>
      </c>
      <c r="H894" s="4">
        <v>227630</v>
      </c>
      <c r="I894" s="4">
        <v>203240.29</v>
      </c>
      <c r="J894" s="4">
        <v>24389.71</v>
      </c>
      <c r="K894" t="s">
        <v>58</v>
      </c>
      <c r="L894" s="3">
        <f>(Table1[[#This Row],[Profit]]/Table1[[#This Row],[Sales_Amount]])*100</f>
        <v>10.714629003206959</v>
      </c>
      <c r="M894" s="4" t="str" cm="1">
        <f t="array" ref="M894">_xlfn.IFS(Table1[[#This Row],[Sales_Amount]]&gt;200000,"High",AND(Table1[[#This Row],[Sales_Amount]]&gt;100000,Table1[[#This Row],[Sales_Amount]]&lt;200000),"Medium",Table1[[#This Row],[Sales_Amount]]&lt;100000,"Low")</f>
        <v>High</v>
      </c>
      <c r="N894" t="str">
        <f>TEXT(Table1[[#This Row],[Order_Date]],"MMMM")</f>
        <v>November</v>
      </c>
      <c r="O894">
        <f>YEAR(Table1[[#This Row],[Order_Date]])</f>
        <v>2027</v>
      </c>
    </row>
    <row r="895" spans="1:15" x14ac:dyDescent="0.3">
      <c r="A895" t="s">
        <v>926</v>
      </c>
      <c r="B895" s="1">
        <v>46714</v>
      </c>
      <c r="C895" t="s">
        <v>28</v>
      </c>
      <c r="D895" t="s">
        <v>34</v>
      </c>
      <c r="E895" t="s">
        <v>37</v>
      </c>
      <c r="F895" s="3">
        <v>4</v>
      </c>
      <c r="G895" s="4">
        <v>5061</v>
      </c>
      <c r="H895" s="4">
        <v>20244</v>
      </c>
      <c r="I895" s="4">
        <v>17580.419999999998</v>
      </c>
      <c r="J895" s="4">
        <v>2663.58</v>
      </c>
      <c r="K895" t="s">
        <v>23</v>
      </c>
      <c r="L895" s="3">
        <f>(Table1[[#This Row],[Profit]]/Table1[[#This Row],[Sales_Amount]])*100</f>
        <v>13.157379964433908</v>
      </c>
      <c r="M895" s="4" t="str" cm="1">
        <f t="array" ref="M895">_xlfn.IFS(Table1[[#This Row],[Sales_Amount]]&gt;200000,"High",AND(Table1[[#This Row],[Sales_Amount]]&gt;100000,Table1[[#This Row],[Sales_Amount]]&lt;200000),"Medium",Table1[[#This Row],[Sales_Amount]]&lt;100000,"Low")</f>
        <v>Low</v>
      </c>
      <c r="N895" t="str">
        <f>TEXT(Table1[[#This Row],[Order_Date]],"MMMM")</f>
        <v>November</v>
      </c>
      <c r="O895">
        <f>YEAR(Table1[[#This Row],[Order_Date]])</f>
        <v>2027</v>
      </c>
    </row>
    <row r="896" spans="1:15" x14ac:dyDescent="0.3">
      <c r="A896" t="s">
        <v>927</v>
      </c>
      <c r="B896" s="1">
        <v>46715</v>
      </c>
      <c r="C896" t="s">
        <v>28</v>
      </c>
      <c r="D896" t="s">
        <v>29</v>
      </c>
      <c r="E896" t="s">
        <v>19</v>
      </c>
      <c r="F896" s="3">
        <v>8</v>
      </c>
      <c r="G896" s="4">
        <v>44546</v>
      </c>
      <c r="H896" s="4">
        <v>356368</v>
      </c>
      <c r="I896" s="4">
        <v>225064.77</v>
      </c>
      <c r="J896" s="4">
        <v>131303.23000000001</v>
      </c>
      <c r="K896" t="s">
        <v>15</v>
      </c>
      <c r="L896" s="3">
        <f>(Table1[[#This Row],[Profit]]/Table1[[#This Row],[Sales_Amount]])*100</f>
        <v>36.844842971310563</v>
      </c>
      <c r="M896" s="4" t="str" cm="1">
        <f t="array" ref="M896">_xlfn.IFS(Table1[[#This Row],[Sales_Amount]]&gt;200000,"High",AND(Table1[[#This Row],[Sales_Amount]]&gt;100000,Table1[[#This Row],[Sales_Amount]]&lt;200000),"Medium",Table1[[#This Row],[Sales_Amount]]&lt;100000,"Low")</f>
        <v>High</v>
      </c>
      <c r="N896" t="str">
        <f>TEXT(Table1[[#This Row],[Order_Date]],"MMMM")</f>
        <v>November</v>
      </c>
      <c r="O896">
        <f>YEAR(Table1[[#This Row],[Order_Date]])</f>
        <v>2027</v>
      </c>
    </row>
    <row r="897" spans="1:15" x14ac:dyDescent="0.3">
      <c r="A897" t="s">
        <v>928</v>
      </c>
      <c r="B897" s="1">
        <v>46716</v>
      </c>
      <c r="C897" t="s">
        <v>17</v>
      </c>
      <c r="D897" t="s">
        <v>13</v>
      </c>
      <c r="E897" t="s">
        <v>37</v>
      </c>
      <c r="F897" s="3">
        <v>7</v>
      </c>
      <c r="G897" s="4">
        <v>46049</v>
      </c>
      <c r="H897" s="4">
        <v>322343</v>
      </c>
      <c r="I897" s="4">
        <v>250514.4</v>
      </c>
      <c r="J897" s="4">
        <v>71828.600000000006</v>
      </c>
      <c r="K897" t="s">
        <v>15</v>
      </c>
      <c r="L897" s="3">
        <f>(Table1[[#This Row],[Profit]]/Table1[[#This Row],[Sales_Amount]])*100</f>
        <v>22.28328209391859</v>
      </c>
      <c r="M897" s="4" t="str" cm="1">
        <f t="array" ref="M897">_xlfn.IFS(Table1[[#This Row],[Sales_Amount]]&gt;200000,"High",AND(Table1[[#This Row],[Sales_Amount]]&gt;100000,Table1[[#This Row],[Sales_Amount]]&lt;200000),"Medium",Table1[[#This Row],[Sales_Amount]]&lt;100000,"Low")</f>
        <v>High</v>
      </c>
      <c r="N897" t="str">
        <f>TEXT(Table1[[#This Row],[Order_Date]],"MMMM")</f>
        <v>November</v>
      </c>
      <c r="O897">
        <f>YEAR(Table1[[#This Row],[Order_Date]])</f>
        <v>2027</v>
      </c>
    </row>
    <row r="898" spans="1:15" x14ac:dyDescent="0.3">
      <c r="A898" t="s">
        <v>929</v>
      </c>
      <c r="B898" s="1">
        <v>46717</v>
      </c>
      <c r="C898" t="s">
        <v>28</v>
      </c>
      <c r="D898" t="s">
        <v>29</v>
      </c>
      <c r="E898" t="s">
        <v>22</v>
      </c>
      <c r="F898" s="3">
        <v>6</v>
      </c>
      <c r="G898" s="4">
        <v>13624</v>
      </c>
      <c r="H898" s="4">
        <v>81744</v>
      </c>
      <c r="I898" s="4">
        <v>63636.74</v>
      </c>
      <c r="J898" s="4">
        <v>18107.259999999998</v>
      </c>
      <c r="K898" t="s">
        <v>23</v>
      </c>
      <c r="L898" s="3">
        <f>(Table1[[#This Row],[Profit]]/Table1[[#This Row],[Sales_Amount]])*100</f>
        <v>22.151179291446464</v>
      </c>
      <c r="M898" s="4" t="str" cm="1">
        <f t="array" ref="M898">_xlfn.IFS(Table1[[#This Row],[Sales_Amount]]&gt;200000,"High",AND(Table1[[#This Row],[Sales_Amount]]&gt;100000,Table1[[#This Row],[Sales_Amount]]&lt;200000),"Medium",Table1[[#This Row],[Sales_Amount]]&lt;100000,"Low")</f>
        <v>Low</v>
      </c>
      <c r="N898" t="str">
        <f>TEXT(Table1[[#This Row],[Order_Date]],"MMMM")</f>
        <v>November</v>
      </c>
      <c r="O898">
        <f>YEAR(Table1[[#This Row],[Order_Date]])</f>
        <v>2027</v>
      </c>
    </row>
    <row r="899" spans="1:15" x14ac:dyDescent="0.3">
      <c r="A899" t="s">
        <v>930</v>
      </c>
      <c r="B899" s="1">
        <v>46718</v>
      </c>
      <c r="C899" t="s">
        <v>40</v>
      </c>
      <c r="D899" t="s">
        <v>21</v>
      </c>
      <c r="E899" t="s">
        <v>19</v>
      </c>
      <c r="F899" s="3">
        <v>8</v>
      </c>
      <c r="G899" s="4">
        <v>18752</v>
      </c>
      <c r="H899" s="4">
        <v>150016</v>
      </c>
      <c r="I899" s="4">
        <v>124430.04</v>
      </c>
      <c r="J899" s="4">
        <v>25585.96</v>
      </c>
      <c r="K899" t="s">
        <v>26</v>
      </c>
      <c r="L899" s="3">
        <f>(Table1[[#This Row],[Profit]]/Table1[[#This Row],[Sales_Amount]])*100</f>
        <v>17.055487414675767</v>
      </c>
      <c r="M899" s="4" t="str" cm="1">
        <f t="array" ref="M899">_xlfn.IFS(Table1[[#This Row],[Sales_Amount]]&gt;200000,"High",AND(Table1[[#This Row],[Sales_Amount]]&gt;100000,Table1[[#This Row],[Sales_Amount]]&lt;200000),"Medium",Table1[[#This Row],[Sales_Amount]]&lt;100000,"Low")</f>
        <v>Medium</v>
      </c>
      <c r="N899" t="str">
        <f>TEXT(Table1[[#This Row],[Order_Date]],"MMMM")</f>
        <v>November</v>
      </c>
      <c r="O899">
        <f>YEAR(Table1[[#This Row],[Order_Date]])</f>
        <v>2027</v>
      </c>
    </row>
    <row r="900" spans="1:15" x14ac:dyDescent="0.3">
      <c r="A900" t="s">
        <v>931</v>
      </c>
      <c r="B900" s="1">
        <v>46719</v>
      </c>
      <c r="C900" t="s">
        <v>40</v>
      </c>
      <c r="D900" t="s">
        <v>13</v>
      </c>
      <c r="E900" t="s">
        <v>19</v>
      </c>
      <c r="F900" s="3">
        <v>10</v>
      </c>
      <c r="G900" s="4">
        <v>27005</v>
      </c>
      <c r="H900" s="4">
        <v>270050</v>
      </c>
      <c r="I900" s="4">
        <v>242034.19</v>
      </c>
      <c r="J900" s="4">
        <v>28015.81</v>
      </c>
      <c r="K900" t="s">
        <v>58</v>
      </c>
      <c r="L900" s="3">
        <f>(Table1[[#This Row],[Profit]]/Table1[[#This Row],[Sales_Amount]])*100</f>
        <v>10.374304758378079</v>
      </c>
      <c r="M900" s="4" t="str" cm="1">
        <f t="array" ref="M900">_xlfn.IFS(Table1[[#This Row],[Sales_Amount]]&gt;200000,"High",AND(Table1[[#This Row],[Sales_Amount]]&gt;100000,Table1[[#This Row],[Sales_Amount]]&lt;200000),"Medium",Table1[[#This Row],[Sales_Amount]]&lt;100000,"Low")</f>
        <v>High</v>
      </c>
      <c r="N900" t="str">
        <f>TEXT(Table1[[#This Row],[Order_Date]],"MMMM")</f>
        <v>November</v>
      </c>
      <c r="O900">
        <f>YEAR(Table1[[#This Row],[Order_Date]])</f>
        <v>2027</v>
      </c>
    </row>
    <row r="901" spans="1:15" x14ac:dyDescent="0.3">
      <c r="A901" t="s">
        <v>932</v>
      </c>
      <c r="B901" s="1">
        <v>46720</v>
      </c>
      <c r="C901" t="s">
        <v>12</v>
      </c>
      <c r="D901" t="s">
        <v>18</v>
      </c>
      <c r="E901" t="s">
        <v>14</v>
      </c>
      <c r="F901" s="3">
        <v>5</v>
      </c>
      <c r="G901" s="4">
        <v>32569</v>
      </c>
      <c r="H901" s="4">
        <v>162845</v>
      </c>
      <c r="I901" s="4">
        <v>122000.56</v>
      </c>
      <c r="J901" s="4">
        <v>40844.44</v>
      </c>
      <c r="K901" t="s">
        <v>15</v>
      </c>
      <c r="L901" s="3">
        <f>(Table1[[#This Row],[Profit]]/Table1[[#This Row],[Sales_Amount]])*100</f>
        <v>25.081789431668149</v>
      </c>
      <c r="M901" s="4" t="str" cm="1">
        <f t="array" ref="M901">_xlfn.IFS(Table1[[#This Row],[Sales_Amount]]&gt;200000,"High",AND(Table1[[#This Row],[Sales_Amount]]&gt;100000,Table1[[#This Row],[Sales_Amount]]&lt;200000),"Medium",Table1[[#This Row],[Sales_Amount]]&lt;100000,"Low")</f>
        <v>Medium</v>
      </c>
      <c r="N901" t="str">
        <f>TEXT(Table1[[#This Row],[Order_Date]],"MMMM")</f>
        <v>November</v>
      </c>
      <c r="O901">
        <f>YEAR(Table1[[#This Row],[Order_Date]])</f>
        <v>2027</v>
      </c>
    </row>
    <row r="902" spans="1:15" x14ac:dyDescent="0.3">
      <c r="A902" t="s">
        <v>933</v>
      </c>
      <c r="B902" s="1">
        <v>46721</v>
      </c>
      <c r="C902" t="s">
        <v>12</v>
      </c>
      <c r="D902" t="s">
        <v>21</v>
      </c>
      <c r="E902" t="s">
        <v>14</v>
      </c>
      <c r="F902" s="3">
        <v>8</v>
      </c>
      <c r="G902" s="4">
        <v>44940</v>
      </c>
      <c r="H902" s="4">
        <v>359520</v>
      </c>
      <c r="I902" s="4">
        <v>218597.03</v>
      </c>
      <c r="J902" s="4">
        <v>140922.97</v>
      </c>
      <c r="K902" t="s">
        <v>26</v>
      </c>
      <c r="L902" s="3">
        <f>(Table1[[#This Row],[Profit]]/Table1[[#This Row],[Sales_Amount]])*100</f>
        <v>39.197532821539831</v>
      </c>
      <c r="M902" s="4" t="str" cm="1">
        <f t="array" ref="M902">_xlfn.IFS(Table1[[#This Row],[Sales_Amount]]&gt;200000,"High",AND(Table1[[#This Row],[Sales_Amount]]&gt;100000,Table1[[#This Row],[Sales_Amount]]&lt;200000),"Medium",Table1[[#This Row],[Sales_Amount]]&lt;100000,"Low")</f>
        <v>High</v>
      </c>
      <c r="N902" t="str">
        <f>TEXT(Table1[[#This Row],[Order_Date]],"MMMM")</f>
        <v>November</v>
      </c>
      <c r="O902">
        <f>YEAR(Table1[[#This Row],[Order_Date]])</f>
        <v>2027</v>
      </c>
    </row>
    <row r="903" spans="1:15" x14ac:dyDescent="0.3">
      <c r="A903" t="s">
        <v>934</v>
      </c>
      <c r="B903" s="1">
        <v>46722</v>
      </c>
      <c r="C903" t="s">
        <v>17</v>
      </c>
      <c r="D903" t="s">
        <v>56</v>
      </c>
      <c r="E903" t="s">
        <v>32</v>
      </c>
      <c r="F903" s="3">
        <v>10</v>
      </c>
      <c r="G903" s="4">
        <v>41344</v>
      </c>
      <c r="H903" s="4">
        <v>413440</v>
      </c>
      <c r="I903" s="4">
        <v>260012.45</v>
      </c>
      <c r="J903" s="4">
        <v>153427.54999999999</v>
      </c>
      <c r="K903" t="s">
        <v>58</v>
      </c>
      <c r="L903" s="3">
        <f>(Table1[[#This Row],[Profit]]/Table1[[#This Row],[Sales_Amount]])*100</f>
        <v>37.109991776315788</v>
      </c>
      <c r="M903" s="4" t="str" cm="1">
        <f t="array" ref="M903">_xlfn.IFS(Table1[[#This Row],[Sales_Amount]]&gt;200000,"High",AND(Table1[[#This Row],[Sales_Amount]]&gt;100000,Table1[[#This Row],[Sales_Amount]]&lt;200000),"Medium",Table1[[#This Row],[Sales_Amount]]&lt;100000,"Low")</f>
        <v>High</v>
      </c>
      <c r="N903" t="str">
        <f>TEXT(Table1[[#This Row],[Order_Date]],"MMMM")</f>
        <v>December</v>
      </c>
      <c r="O903">
        <f>YEAR(Table1[[#This Row],[Order_Date]])</f>
        <v>2027</v>
      </c>
    </row>
    <row r="904" spans="1:15" x14ac:dyDescent="0.3">
      <c r="A904" t="s">
        <v>935</v>
      </c>
      <c r="B904" s="1">
        <v>46723</v>
      </c>
      <c r="C904" t="s">
        <v>40</v>
      </c>
      <c r="D904" t="s">
        <v>18</v>
      </c>
      <c r="E904" t="s">
        <v>32</v>
      </c>
      <c r="F904" s="3">
        <v>8</v>
      </c>
      <c r="G904" s="4">
        <v>32629</v>
      </c>
      <c r="H904" s="4">
        <v>261032</v>
      </c>
      <c r="I904" s="4">
        <v>196149.48</v>
      </c>
      <c r="J904" s="4">
        <v>64882.52</v>
      </c>
      <c r="K904" t="s">
        <v>15</v>
      </c>
      <c r="L904" s="3">
        <f>(Table1[[#This Row],[Profit]]/Table1[[#This Row],[Sales_Amount]])*100</f>
        <v>24.856155567133531</v>
      </c>
      <c r="M904" s="4" t="str" cm="1">
        <f t="array" ref="M904">_xlfn.IFS(Table1[[#This Row],[Sales_Amount]]&gt;200000,"High",AND(Table1[[#This Row],[Sales_Amount]]&gt;100000,Table1[[#This Row],[Sales_Amount]]&lt;200000),"Medium",Table1[[#This Row],[Sales_Amount]]&lt;100000,"Low")</f>
        <v>High</v>
      </c>
      <c r="N904" t="str">
        <f>TEXT(Table1[[#This Row],[Order_Date]],"MMMM")</f>
        <v>December</v>
      </c>
      <c r="O904">
        <f>YEAR(Table1[[#This Row],[Order_Date]])</f>
        <v>2027</v>
      </c>
    </row>
    <row r="905" spans="1:15" x14ac:dyDescent="0.3">
      <c r="A905" t="s">
        <v>936</v>
      </c>
      <c r="B905" s="1">
        <v>46724</v>
      </c>
      <c r="C905" t="s">
        <v>28</v>
      </c>
      <c r="D905" t="s">
        <v>56</v>
      </c>
      <c r="E905" t="s">
        <v>14</v>
      </c>
      <c r="F905" s="3">
        <v>7</v>
      </c>
      <c r="G905" s="4">
        <v>29998</v>
      </c>
      <c r="H905" s="4">
        <v>209986</v>
      </c>
      <c r="I905" s="4">
        <v>145807.51</v>
      </c>
      <c r="J905" s="4">
        <v>64178.49</v>
      </c>
      <c r="K905" t="s">
        <v>58</v>
      </c>
      <c r="L905" s="3">
        <f>(Table1[[#This Row],[Profit]]/Table1[[#This Row],[Sales_Amount]])*100</f>
        <v>30.563223262503215</v>
      </c>
      <c r="M905" s="4" t="str" cm="1">
        <f t="array" ref="M905">_xlfn.IFS(Table1[[#This Row],[Sales_Amount]]&gt;200000,"High",AND(Table1[[#This Row],[Sales_Amount]]&gt;100000,Table1[[#This Row],[Sales_Amount]]&lt;200000),"Medium",Table1[[#This Row],[Sales_Amount]]&lt;100000,"Low")</f>
        <v>High</v>
      </c>
      <c r="N905" t="str">
        <f>TEXT(Table1[[#This Row],[Order_Date]],"MMMM")</f>
        <v>December</v>
      </c>
      <c r="O905">
        <f>YEAR(Table1[[#This Row],[Order_Date]])</f>
        <v>2027</v>
      </c>
    </row>
    <row r="906" spans="1:15" x14ac:dyDescent="0.3">
      <c r="A906" t="s">
        <v>937</v>
      </c>
      <c r="B906" s="1">
        <v>46725</v>
      </c>
      <c r="C906" t="s">
        <v>40</v>
      </c>
      <c r="D906" t="s">
        <v>13</v>
      </c>
      <c r="E906" t="s">
        <v>14</v>
      </c>
      <c r="F906" s="3">
        <v>3</v>
      </c>
      <c r="G906" s="4">
        <v>36981</v>
      </c>
      <c r="H906" s="4">
        <v>110943</v>
      </c>
      <c r="I906" s="4">
        <v>88512.91</v>
      </c>
      <c r="J906" s="4">
        <v>22430.09</v>
      </c>
      <c r="K906" t="s">
        <v>58</v>
      </c>
      <c r="L906" s="3">
        <f>(Table1[[#This Row],[Profit]]/Table1[[#This Row],[Sales_Amount]])*100</f>
        <v>20.217670335217182</v>
      </c>
      <c r="M906" s="4" t="str" cm="1">
        <f t="array" ref="M906">_xlfn.IFS(Table1[[#This Row],[Sales_Amount]]&gt;200000,"High",AND(Table1[[#This Row],[Sales_Amount]]&gt;100000,Table1[[#This Row],[Sales_Amount]]&lt;200000),"Medium",Table1[[#This Row],[Sales_Amount]]&lt;100000,"Low")</f>
        <v>Medium</v>
      </c>
      <c r="N906" t="str">
        <f>TEXT(Table1[[#This Row],[Order_Date]],"MMMM")</f>
        <v>December</v>
      </c>
      <c r="O906">
        <f>YEAR(Table1[[#This Row],[Order_Date]])</f>
        <v>2027</v>
      </c>
    </row>
    <row r="907" spans="1:15" x14ac:dyDescent="0.3">
      <c r="A907" t="s">
        <v>938</v>
      </c>
      <c r="B907" s="1">
        <v>46726</v>
      </c>
      <c r="C907" t="s">
        <v>17</v>
      </c>
      <c r="D907" t="s">
        <v>56</v>
      </c>
      <c r="E907" t="s">
        <v>22</v>
      </c>
      <c r="F907" s="3">
        <v>5</v>
      </c>
      <c r="G907" s="4">
        <v>47405</v>
      </c>
      <c r="H907" s="4">
        <v>237025</v>
      </c>
      <c r="I907" s="4">
        <v>169881.54</v>
      </c>
      <c r="J907" s="4">
        <v>67143.460000000006</v>
      </c>
      <c r="K907" t="s">
        <v>58</v>
      </c>
      <c r="L907" s="3">
        <f>(Table1[[#This Row],[Profit]]/Table1[[#This Row],[Sales_Amount]])*100</f>
        <v>28.327585697711218</v>
      </c>
      <c r="M907" s="4" t="str" cm="1">
        <f t="array" ref="M907">_xlfn.IFS(Table1[[#This Row],[Sales_Amount]]&gt;200000,"High",AND(Table1[[#This Row],[Sales_Amount]]&gt;100000,Table1[[#This Row],[Sales_Amount]]&lt;200000),"Medium",Table1[[#This Row],[Sales_Amount]]&lt;100000,"Low")</f>
        <v>High</v>
      </c>
      <c r="N907" t="str">
        <f>TEXT(Table1[[#This Row],[Order_Date]],"MMMM")</f>
        <v>December</v>
      </c>
      <c r="O907">
        <f>YEAR(Table1[[#This Row],[Order_Date]])</f>
        <v>2027</v>
      </c>
    </row>
    <row r="908" spans="1:15" x14ac:dyDescent="0.3">
      <c r="A908" t="s">
        <v>939</v>
      </c>
      <c r="B908" s="1">
        <v>46727</v>
      </c>
      <c r="C908" t="s">
        <v>40</v>
      </c>
      <c r="D908" t="s">
        <v>56</v>
      </c>
      <c r="E908" t="s">
        <v>25</v>
      </c>
      <c r="F908" s="3">
        <v>3</v>
      </c>
      <c r="G908" s="4">
        <v>33706</v>
      </c>
      <c r="H908" s="4">
        <v>101118</v>
      </c>
      <c r="I908" s="4">
        <v>62361.61</v>
      </c>
      <c r="J908" s="4">
        <v>38756.39</v>
      </c>
      <c r="K908" t="s">
        <v>58</v>
      </c>
      <c r="L908" s="3">
        <f>(Table1[[#This Row],[Profit]]/Table1[[#This Row],[Sales_Amount]])*100</f>
        <v>38.327884254039837</v>
      </c>
      <c r="M908" s="4" t="str" cm="1">
        <f t="array" ref="M908">_xlfn.IFS(Table1[[#This Row],[Sales_Amount]]&gt;200000,"High",AND(Table1[[#This Row],[Sales_Amount]]&gt;100000,Table1[[#This Row],[Sales_Amount]]&lt;200000),"Medium",Table1[[#This Row],[Sales_Amount]]&lt;100000,"Low")</f>
        <v>Medium</v>
      </c>
      <c r="N908" t="str">
        <f>TEXT(Table1[[#This Row],[Order_Date]],"MMMM")</f>
        <v>December</v>
      </c>
      <c r="O908">
        <f>YEAR(Table1[[#This Row],[Order_Date]])</f>
        <v>2027</v>
      </c>
    </row>
    <row r="909" spans="1:15" x14ac:dyDescent="0.3">
      <c r="A909" t="s">
        <v>940</v>
      </c>
      <c r="B909" s="1">
        <v>46728</v>
      </c>
      <c r="C909" t="s">
        <v>17</v>
      </c>
      <c r="D909" t="s">
        <v>18</v>
      </c>
      <c r="E909" t="s">
        <v>19</v>
      </c>
      <c r="F909" s="3">
        <v>6</v>
      </c>
      <c r="G909" s="4">
        <v>19140</v>
      </c>
      <c r="H909" s="4">
        <v>114840</v>
      </c>
      <c r="I909" s="4">
        <v>79945.27</v>
      </c>
      <c r="J909" s="4">
        <v>34894.730000000003</v>
      </c>
      <c r="K909" t="s">
        <v>23</v>
      </c>
      <c r="L909" s="3">
        <f>(Table1[[#This Row],[Profit]]/Table1[[#This Row],[Sales_Amount]])*100</f>
        <v>30.38551898293278</v>
      </c>
      <c r="M909" s="4" t="str" cm="1">
        <f t="array" ref="M909">_xlfn.IFS(Table1[[#This Row],[Sales_Amount]]&gt;200000,"High",AND(Table1[[#This Row],[Sales_Amount]]&gt;100000,Table1[[#This Row],[Sales_Amount]]&lt;200000),"Medium",Table1[[#This Row],[Sales_Amount]]&lt;100000,"Low")</f>
        <v>Medium</v>
      </c>
      <c r="N909" t="str">
        <f>TEXT(Table1[[#This Row],[Order_Date]],"MMMM")</f>
        <v>December</v>
      </c>
      <c r="O909">
        <f>YEAR(Table1[[#This Row],[Order_Date]])</f>
        <v>2027</v>
      </c>
    </row>
    <row r="910" spans="1:15" x14ac:dyDescent="0.3">
      <c r="A910" t="s">
        <v>941</v>
      </c>
      <c r="B910" s="1">
        <v>46729</v>
      </c>
      <c r="C910" t="s">
        <v>40</v>
      </c>
      <c r="D910" t="s">
        <v>21</v>
      </c>
      <c r="E910" t="s">
        <v>32</v>
      </c>
      <c r="F910" s="3">
        <v>10</v>
      </c>
      <c r="G910" s="4">
        <v>2262</v>
      </c>
      <c r="H910" s="4">
        <v>22620</v>
      </c>
      <c r="I910" s="4">
        <v>18764.61</v>
      </c>
      <c r="J910" s="4">
        <v>3855.39</v>
      </c>
      <c r="K910" t="s">
        <v>15</v>
      </c>
      <c r="L910" s="3">
        <f>(Table1[[#This Row],[Profit]]/Table1[[#This Row],[Sales_Amount]])*100</f>
        <v>17.044164456233421</v>
      </c>
      <c r="M910" s="4" t="str" cm="1">
        <f t="array" ref="M910">_xlfn.IFS(Table1[[#This Row],[Sales_Amount]]&gt;200000,"High",AND(Table1[[#This Row],[Sales_Amount]]&gt;100000,Table1[[#This Row],[Sales_Amount]]&lt;200000),"Medium",Table1[[#This Row],[Sales_Amount]]&lt;100000,"Low")</f>
        <v>Low</v>
      </c>
      <c r="N910" t="str">
        <f>TEXT(Table1[[#This Row],[Order_Date]],"MMMM")</f>
        <v>December</v>
      </c>
      <c r="O910">
        <f>YEAR(Table1[[#This Row],[Order_Date]])</f>
        <v>2027</v>
      </c>
    </row>
    <row r="911" spans="1:15" x14ac:dyDescent="0.3">
      <c r="A911" t="s">
        <v>942</v>
      </c>
      <c r="B911" s="1">
        <v>46730</v>
      </c>
      <c r="C911" t="s">
        <v>12</v>
      </c>
      <c r="D911" t="s">
        <v>51</v>
      </c>
      <c r="E911" t="s">
        <v>32</v>
      </c>
      <c r="F911" s="3">
        <v>6</v>
      </c>
      <c r="G911" s="4">
        <v>27496</v>
      </c>
      <c r="H911" s="4">
        <v>164976</v>
      </c>
      <c r="I911" s="4">
        <v>116370.9</v>
      </c>
      <c r="J911" s="4">
        <v>48605.1</v>
      </c>
      <c r="K911" t="s">
        <v>23</v>
      </c>
      <c r="L911" s="3">
        <f>(Table1[[#This Row],[Profit]]/Table1[[#This Row],[Sales_Amount]])*100</f>
        <v>29.461921734070412</v>
      </c>
      <c r="M911" s="4" t="str" cm="1">
        <f t="array" ref="M911">_xlfn.IFS(Table1[[#This Row],[Sales_Amount]]&gt;200000,"High",AND(Table1[[#This Row],[Sales_Amount]]&gt;100000,Table1[[#This Row],[Sales_Amount]]&lt;200000),"Medium",Table1[[#This Row],[Sales_Amount]]&lt;100000,"Low")</f>
        <v>Medium</v>
      </c>
      <c r="N911" t="str">
        <f>TEXT(Table1[[#This Row],[Order_Date]],"MMMM")</f>
        <v>December</v>
      </c>
      <c r="O911">
        <f>YEAR(Table1[[#This Row],[Order_Date]])</f>
        <v>2027</v>
      </c>
    </row>
    <row r="912" spans="1:15" x14ac:dyDescent="0.3">
      <c r="A912" t="s">
        <v>943</v>
      </c>
      <c r="B912" s="1">
        <v>46731</v>
      </c>
      <c r="C912" t="s">
        <v>17</v>
      </c>
      <c r="D912" t="s">
        <v>44</v>
      </c>
      <c r="E912" t="s">
        <v>32</v>
      </c>
      <c r="F912" s="3">
        <v>10</v>
      </c>
      <c r="G912" s="4">
        <v>6066</v>
      </c>
      <c r="H912" s="4">
        <v>60660</v>
      </c>
      <c r="I912" s="4">
        <v>52963.26</v>
      </c>
      <c r="J912" s="4">
        <v>7696.74</v>
      </c>
      <c r="K912" t="s">
        <v>15</v>
      </c>
      <c r="L912" s="3">
        <f>(Table1[[#This Row],[Profit]]/Table1[[#This Row],[Sales_Amount]])*100</f>
        <v>12.688328387734915</v>
      </c>
      <c r="M912" s="4" t="str" cm="1">
        <f t="array" ref="M912">_xlfn.IFS(Table1[[#This Row],[Sales_Amount]]&gt;200000,"High",AND(Table1[[#This Row],[Sales_Amount]]&gt;100000,Table1[[#This Row],[Sales_Amount]]&lt;200000),"Medium",Table1[[#This Row],[Sales_Amount]]&lt;100000,"Low")</f>
        <v>Low</v>
      </c>
      <c r="N912" t="str">
        <f>TEXT(Table1[[#This Row],[Order_Date]],"MMMM")</f>
        <v>December</v>
      </c>
      <c r="O912">
        <f>YEAR(Table1[[#This Row],[Order_Date]])</f>
        <v>2027</v>
      </c>
    </row>
    <row r="913" spans="1:15" x14ac:dyDescent="0.3">
      <c r="A913" t="s">
        <v>944</v>
      </c>
      <c r="B913" s="1">
        <v>46732</v>
      </c>
      <c r="C913" t="s">
        <v>28</v>
      </c>
      <c r="D913" t="s">
        <v>21</v>
      </c>
      <c r="E913" t="s">
        <v>22</v>
      </c>
      <c r="F913" s="3">
        <v>1</v>
      </c>
      <c r="G913" s="4">
        <v>35785</v>
      </c>
      <c r="H913" s="4">
        <v>35785</v>
      </c>
      <c r="I913" s="4">
        <v>24972.03</v>
      </c>
      <c r="J913" s="4">
        <v>10812.97</v>
      </c>
      <c r="K913" t="s">
        <v>58</v>
      </c>
      <c r="L913" s="3">
        <f>(Table1[[#This Row],[Profit]]/Table1[[#This Row],[Sales_Amount]])*100</f>
        <v>30.216487355037025</v>
      </c>
      <c r="M913" s="4" t="str" cm="1">
        <f t="array" ref="M913">_xlfn.IFS(Table1[[#This Row],[Sales_Amount]]&gt;200000,"High",AND(Table1[[#This Row],[Sales_Amount]]&gt;100000,Table1[[#This Row],[Sales_Amount]]&lt;200000),"Medium",Table1[[#This Row],[Sales_Amount]]&lt;100000,"Low")</f>
        <v>Low</v>
      </c>
      <c r="N913" t="str">
        <f>TEXT(Table1[[#This Row],[Order_Date]],"MMMM")</f>
        <v>December</v>
      </c>
      <c r="O913">
        <f>YEAR(Table1[[#This Row],[Order_Date]])</f>
        <v>2027</v>
      </c>
    </row>
    <row r="914" spans="1:15" x14ac:dyDescent="0.3">
      <c r="A914" t="s">
        <v>945</v>
      </c>
      <c r="B914" s="1">
        <v>46733</v>
      </c>
      <c r="C914" t="s">
        <v>40</v>
      </c>
      <c r="D914" t="s">
        <v>21</v>
      </c>
      <c r="E914" t="s">
        <v>14</v>
      </c>
      <c r="F914" s="3">
        <v>8</v>
      </c>
      <c r="G914" s="4">
        <v>39034</v>
      </c>
      <c r="H914" s="4">
        <v>312272</v>
      </c>
      <c r="I914" s="4">
        <v>189446.35</v>
      </c>
      <c r="J914" s="4">
        <v>122825.65</v>
      </c>
      <c r="K914" t="s">
        <v>58</v>
      </c>
      <c r="L914" s="3">
        <f>(Table1[[#This Row],[Profit]]/Table1[[#This Row],[Sales_Amount]])*100</f>
        <v>39.332905287697898</v>
      </c>
      <c r="M914" s="4" t="str" cm="1">
        <f t="array" ref="M914">_xlfn.IFS(Table1[[#This Row],[Sales_Amount]]&gt;200000,"High",AND(Table1[[#This Row],[Sales_Amount]]&gt;100000,Table1[[#This Row],[Sales_Amount]]&lt;200000),"Medium",Table1[[#This Row],[Sales_Amount]]&lt;100000,"Low")</f>
        <v>High</v>
      </c>
      <c r="N914" t="str">
        <f>TEXT(Table1[[#This Row],[Order_Date]],"MMMM")</f>
        <v>December</v>
      </c>
      <c r="O914">
        <f>YEAR(Table1[[#This Row],[Order_Date]])</f>
        <v>2027</v>
      </c>
    </row>
    <row r="915" spans="1:15" x14ac:dyDescent="0.3">
      <c r="A915" t="s">
        <v>946</v>
      </c>
      <c r="B915" s="1">
        <v>46734</v>
      </c>
      <c r="C915" t="s">
        <v>12</v>
      </c>
      <c r="D915" t="s">
        <v>34</v>
      </c>
      <c r="E915" t="s">
        <v>25</v>
      </c>
      <c r="F915" s="3">
        <v>2</v>
      </c>
      <c r="G915" s="4">
        <v>32505</v>
      </c>
      <c r="H915" s="4">
        <v>65010</v>
      </c>
      <c r="I915" s="4">
        <v>40957.410000000003</v>
      </c>
      <c r="J915" s="4">
        <v>24052.59</v>
      </c>
      <c r="K915" t="s">
        <v>58</v>
      </c>
      <c r="L915" s="3">
        <f>(Table1[[#This Row],[Profit]]/Table1[[#This Row],[Sales_Amount]])*100</f>
        <v>36.998292570373785</v>
      </c>
      <c r="M915" s="4" t="str" cm="1">
        <f t="array" ref="M915">_xlfn.IFS(Table1[[#This Row],[Sales_Amount]]&gt;200000,"High",AND(Table1[[#This Row],[Sales_Amount]]&gt;100000,Table1[[#This Row],[Sales_Amount]]&lt;200000),"Medium",Table1[[#This Row],[Sales_Amount]]&lt;100000,"Low")</f>
        <v>Low</v>
      </c>
      <c r="N915" t="str">
        <f>TEXT(Table1[[#This Row],[Order_Date]],"MMMM")</f>
        <v>December</v>
      </c>
      <c r="O915">
        <f>YEAR(Table1[[#This Row],[Order_Date]])</f>
        <v>2027</v>
      </c>
    </row>
    <row r="916" spans="1:15" x14ac:dyDescent="0.3">
      <c r="A916" t="s">
        <v>947</v>
      </c>
      <c r="B916" s="1">
        <v>46735</v>
      </c>
      <c r="C916" t="s">
        <v>40</v>
      </c>
      <c r="D916" t="s">
        <v>21</v>
      </c>
      <c r="E916" t="s">
        <v>19</v>
      </c>
      <c r="F916" s="3">
        <v>6</v>
      </c>
      <c r="G916" s="4">
        <v>11420</v>
      </c>
      <c r="H916" s="4">
        <v>68520</v>
      </c>
      <c r="I916" s="4">
        <v>53750.400000000001</v>
      </c>
      <c r="J916" s="4">
        <v>14769.6</v>
      </c>
      <c r="K916" t="s">
        <v>23</v>
      </c>
      <c r="L916" s="3">
        <f>(Table1[[#This Row],[Profit]]/Table1[[#This Row],[Sales_Amount]])*100</f>
        <v>21.555166374781088</v>
      </c>
      <c r="M916" s="4" t="str" cm="1">
        <f t="array" ref="M916">_xlfn.IFS(Table1[[#This Row],[Sales_Amount]]&gt;200000,"High",AND(Table1[[#This Row],[Sales_Amount]]&gt;100000,Table1[[#This Row],[Sales_Amount]]&lt;200000),"Medium",Table1[[#This Row],[Sales_Amount]]&lt;100000,"Low")</f>
        <v>Low</v>
      </c>
      <c r="N916" t="str">
        <f>TEXT(Table1[[#This Row],[Order_Date]],"MMMM")</f>
        <v>December</v>
      </c>
      <c r="O916">
        <f>YEAR(Table1[[#This Row],[Order_Date]])</f>
        <v>2027</v>
      </c>
    </row>
    <row r="917" spans="1:15" x14ac:dyDescent="0.3">
      <c r="A917" t="s">
        <v>948</v>
      </c>
      <c r="B917" s="1">
        <v>46736</v>
      </c>
      <c r="C917" t="s">
        <v>40</v>
      </c>
      <c r="D917" t="s">
        <v>18</v>
      </c>
      <c r="E917" t="s">
        <v>19</v>
      </c>
      <c r="F917" s="3">
        <v>2</v>
      </c>
      <c r="G917" s="4">
        <v>35616</v>
      </c>
      <c r="H917" s="4">
        <v>71232</v>
      </c>
      <c r="I917" s="4">
        <v>47314.01</v>
      </c>
      <c r="J917" s="4">
        <v>23917.99</v>
      </c>
      <c r="K917" t="s">
        <v>26</v>
      </c>
      <c r="L917" s="3">
        <f>(Table1[[#This Row],[Profit]]/Table1[[#This Row],[Sales_Amount]])*100</f>
        <v>33.577591531895777</v>
      </c>
      <c r="M917" s="4" t="str" cm="1">
        <f t="array" ref="M917">_xlfn.IFS(Table1[[#This Row],[Sales_Amount]]&gt;200000,"High",AND(Table1[[#This Row],[Sales_Amount]]&gt;100000,Table1[[#This Row],[Sales_Amount]]&lt;200000),"Medium",Table1[[#This Row],[Sales_Amount]]&lt;100000,"Low")</f>
        <v>Low</v>
      </c>
      <c r="N917" t="str">
        <f>TEXT(Table1[[#This Row],[Order_Date]],"MMMM")</f>
        <v>December</v>
      </c>
      <c r="O917">
        <f>YEAR(Table1[[#This Row],[Order_Date]])</f>
        <v>2027</v>
      </c>
    </row>
    <row r="918" spans="1:15" x14ac:dyDescent="0.3">
      <c r="A918" t="s">
        <v>949</v>
      </c>
      <c r="B918" s="1">
        <v>46737</v>
      </c>
      <c r="C918" t="s">
        <v>17</v>
      </c>
      <c r="D918" t="s">
        <v>29</v>
      </c>
      <c r="E918" t="s">
        <v>37</v>
      </c>
      <c r="F918" s="3">
        <v>4</v>
      </c>
      <c r="G918" s="4">
        <v>41431</v>
      </c>
      <c r="H918" s="4">
        <v>165724</v>
      </c>
      <c r="I918" s="4">
        <v>136368.71</v>
      </c>
      <c r="J918" s="4">
        <v>29355.29</v>
      </c>
      <c r="K918" t="s">
        <v>26</v>
      </c>
      <c r="L918" s="3">
        <f>(Table1[[#This Row],[Profit]]/Table1[[#This Row],[Sales_Amount]])*100</f>
        <v>17.713360768506675</v>
      </c>
      <c r="M918" s="4" t="str" cm="1">
        <f t="array" ref="M918">_xlfn.IFS(Table1[[#This Row],[Sales_Amount]]&gt;200000,"High",AND(Table1[[#This Row],[Sales_Amount]]&gt;100000,Table1[[#This Row],[Sales_Amount]]&lt;200000),"Medium",Table1[[#This Row],[Sales_Amount]]&lt;100000,"Low")</f>
        <v>Medium</v>
      </c>
      <c r="N918" t="str">
        <f>TEXT(Table1[[#This Row],[Order_Date]],"MMMM")</f>
        <v>December</v>
      </c>
      <c r="O918">
        <f>YEAR(Table1[[#This Row],[Order_Date]])</f>
        <v>2027</v>
      </c>
    </row>
    <row r="919" spans="1:15" x14ac:dyDescent="0.3">
      <c r="A919" t="s">
        <v>950</v>
      </c>
      <c r="B919" s="1">
        <v>46738</v>
      </c>
      <c r="C919" t="s">
        <v>12</v>
      </c>
      <c r="D919" t="s">
        <v>34</v>
      </c>
      <c r="E919" t="s">
        <v>14</v>
      </c>
      <c r="F919" s="3">
        <v>10</v>
      </c>
      <c r="G919" s="4">
        <v>35303</v>
      </c>
      <c r="H919" s="4">
        <v>353030</v>
      </c>
      <c r="I919" s="4">
        <v>262153.2</v>
      </c>
      <c r="J919" s="4">
        <v>90876.800000000003</v>
      </c>
      <c r="K919" t="s">
        <v>15</v>
      </c>
      <c r="L919" s="3">
        <f>(Table1[[#This Row],[Profit]]/Table1[[#This Row],[Sales_Amount]])*100</f>
        <v>25.741948276350453</v>
      </c>
      <c r="M919" s="4" t="str" cm="1">
        <f t="array" ref="M919">_xlfn.IFS(Table1[[#This Row],[Sales_Amount]]&gt;200000,"High",AND(Table1[[#This Row],[Sales_Amount]]&gt;100000,Table1[[#This Row],[Sales_Amount]]&lt;200000),"Medium",Table1[[#This Row],[Sales_Amount]]&lt;100000,"Low")</f>
        <v>High</v>
      </c>
      <c r="N919" t="str">
        <f>TEXT(Table1[[#This Row],[Order_Date]],"MMMM")</f>
        <v>December</v>
      </c>
      <c r="O919">
        <f>YEAR(Table1[[#This Row],[Order_Date]])</f>
        <v>2027</v>
      </c>
    </row>
    <row r="920" spans="1:15" x14ac:dyDescent="0.3">
      <c r="A920" t="s">
        <v>951</v>
      </c>
      <c r="B920" s="1">
        <v>46739</v>
      </c>
      <c r="C920" t="s">
        <v>40</v>
      </c>
      <c r="D920" t="s">
        <v>51</v>
      </c>
      <c r="E920" t="s">
        <v>32</v>
      </c>
      <c r="F920" s="3">
        <v>9</v>
      </c>
      <c r="G920" s="4">
        <v>20154</v>
      </c>
      <c r="H920" s="4">
        <v>181386</v>
      </c>
      <c r="I920" s="4">
        <v>132388.76999999999</v>
      </c>
      <c r="J920" s="4">
        <v>48997.23</v>
      </c>
      <c r="K920" t="s">
        <v>58</v>
      </c>
      <c r="L920" s="3">
        <f>(Table1[[#This Row],[Profit]]/Table1[[#This Row],[Sales_Amount]])*100</f>
        <v>27.012685653799085</v>
      </c>
      <c r="M920" s="4" t="str" cm="1">
        <f t="array" ref="M920">_xlfn.IFS(Table1[[#This Row],[Sales_Amount]]&gt;200000,"High",AND(Table1[[#This Row],[Sales_Amount]]&gt;100000,Table1[[#This Row],[Sales_Amount]]&lt;200000),"Medium",Table1[[#This Row],[Sales_Amount]]&lt;100000,"Low")</f>
        <v>Medium</v>
      </c>
      <c r="N920" t="str">
        <f>TEXT(Table1[[#This Row],[Order_Date]],"MMMM")</f>
        <v>December</v>
      </c>
      <c r="O920">
        <f>YEAR(Table1[[#This Row],[Order_Date]])</f>
        <v>2027</v>
      </c>
    </row>
    <row r="921" spans="1:15" x14ac:dyDescent="0.3">
      <c r="A921" t="s">
        <v>952</v>
      </c>
      <c r="B921" s="1">
        <v>46740</v>
      </c>
      <c r="C921" t="s">
        <v>12</v>
      </c>
      <c r="D921" t="s">
        <v>18</v>
      </c>
      <c r="E921" t="s">
        <v>32</v>
      </c>
      <c r="F921" s="3">
        <v>10</v>
      </c>
      <c r="G921" s="4">
        <v>34275</v>
      </c>
      <c r="H921" s="4">
        <v>342750</v>
      </c>
      <c r="I921" s="4">
        <v>252253.23</v>
      </c>
      <c r="J921" s="4">
        <v>90496.77</v>
      </c>
      <c r="K921" t="s">
        <v>23</v>
      </c>
      <c r="L921" s="3">
        <f>(Table1[[#This Row],[Profit]]/Table1[[#This Row],[Sales_Amount]])*100</f>
        <v>26.403142231947484</v>
      </c>
      <c r="M921" s="4" t="str" cm="1">
        <f t="array" ref="M921">_xlfn.IFS(Table1[[#This Row],[Sales_Amount]]&gt;200000,"High",AND(Table1[[#This Row],[Sales_Amount]]&gt;100000,Table1[[#This Row],[Sales_Amount]]&lt;200000),"Medium",Table1[[#This Row],[Sales_Amount]]&lt;100000,"Low")</f>
        <v>High</v>
      </c>
      <c r="N921" t="str">
        <f>TEXT(Table1[[#This Row],[Order_Date]],"MMMM")</f>
        <v>December</v>
      </c>
      <c r="O921">
        <f>YEAR(Table1[[#This Row],[Order_Date]])</f>
        <v>2027</v>
      </c>
    </row>
    <row r="922" spans="1:15" x14ac:dyDescent="0.3">
      <c r="A922" t="s">
        <v>953</v>
      </c>
      <c r="B922" s="1">
        <v>46741</v>
      </c>
      <c r="C922" t="s">
        <v>28</v>
      </c>
      <c r="D922" t="s">
        <v>44</v>
      </c>
      <c r="E922" t="s">
        <v>37</v>
      </c>
      <c r="F922" s="3">
        <v>4</v>
      </c>
      <c r="G922" s="4">
        <v>43806</v>
      </c>
      <c r="H922" s="4">
        <v>175224</v>
      </c>
      <c r="I922" s="4">
        <v>155710.20000000001</v>
      </c>
      <c r="J922" s="4">
        <v>19513.8</v>
      </c>
      <c r="K922" t="s">
        <v>58</v>
      </c>
      <c r="L922" s="3">
        <f>(Table1[[#This Row],[Profit]]/Table1[[#This Row],[Sales_Amount]])*100</f>
        <v>11.136488152307903</v>
      </c>
      <c r="M922" s="4" t="str" cm="1">
        <f t="array" ref="M922">_xlfn.IFS(Table1[[#This Row],[Sales_Amount]]&gt;200000,"High",AND(Table1[[#This Row],[Sales_Amount]]&gt;100000,Table1[[#This Row],[Sales_Amount]]&lt;200000),"Medium",Table1[[#This Row],[Sales_Amount]]&lt;100000,"Low")</f>
        <v>Medium</v>
      </c>
      <c r="N922" t="str">
        <f>TEXT(Table1[[#This Row],[Order_Date]],"MMMM")</f>
        <v>December</v>
      </c>
      <c r="O922">
        <f>YEAR(Table1[[#This Row],[Order_Date]])</f>
        <v>2027</v>
      </c>
    </row>
    <row r="923" spans="1:15" x14ac:dyDescent="0.3">
      <c r="A923" t="s">
        <v>954</v>
      </c>
      <c r="B923" s="1">
        <v>46742</v>
      </c>
      <c r="C923" t="s">
        <v>28</v>
      </c>
      <c r="D923" t="s">
        <v>13</v>
      </c>
      <c r="E923" t="s">
        <v>19</v>
      </c>
      <c r="F923" s="3">
        <v>1</v>
      </c>
      <c r="G923" s="4">
        <v>34727</v>
      </c>
      <c r="H923" s="4">
        <v>34727</v>
      </c>
      <c r="I923" s="4">
        <v>22926.57</v>
      </c>
      <c r="J923" s="4">
        <v>11800.43</v>
      </c>
      <c r="K923" t="s">
        <v>23</v>
      </c>
      <c r="L923" s="3">
        <f>(Table1[[#This Row],[Profit]]/Table1[[#This Row],[Sales_Amount]])*100</f>
        <v>33.980562674575978</v>
      </c>
      <c r="M923" s="4" t="str" cm="1">
        <f t="array" ref="M923">_xlfn.IFS(Table1[[#This Row],[Sales_Amount]]&gt;200000,"High",AND(Table1[[#This Row],[Sales_Amount]]&gt;100000,Table1[[#This Row],[Sales_Amount]]&lt;200000),"Medium",Table1[[#This Row],[Sales_Amount]]&lt;100000,"Low")</f>
        <v>Low</v>
      </c>
      <c r="N923" t="str">
        <f>TEXT(Table1[[#This Row],[Order_Date]],"MMMM")</f>
        <v>December</v>
      </c>
      <c r="O923">
        <f>YEAR(Table1[[#This Row],[Order_Date]])</f>
        <v>2027</v>
      </c>
    </row>
    <row r="924" spans="1:15" x14ac:dyDescent="0.3">
      <c r="A924" t="s">
        <v>955</v>
      </c>
      <c r="B924" s="1">
        <v>46743</v>
      </c>
      <c r="C924" t="s">
        <v>17</v>
      </c>
      <c r="D924" t="s">
        <v>51</v>
      </c>
      <c r="E924" t="s">
        <v>19</v>
      </c>
      <c r="F924" s="3">
        <v>5</v>
      </c>
      <c r="G924" s="4">
        <v>29033</v>
      </c>
      <c r="H924" s="4">
        <v>145165</v>
      </c>
      <c r="I924" s="4">
        <v>104965.63</v>
      </c>
      <c r="J924" s="4">
        <v>40199.370000000003</v>
      </c>
      <c r="K924" t="s">
        <v>58</v>
      </c>
      <c r="L924" s="3">
        <f>(Table1[[#This Row],[Profit]]/Table1[[#This Row],[Sales_Amount]])*100</f>
        <v>27.692191643991322</v>
      </c>
      <c r="M924" s="4" t="str" cm="1">
        <f t="array" ref="M924">_xlfn.IFS(Table1[[#This Row],[Sales_Amount]]&gt;200000,"High",AND(Table1[[#This Row],[Sales_Amount]]&gt;100000,Table1[[#This Row],[Sales_Amount]]&lt;200000),"Medium",Table1[[#This Row],[Sales_Amount]]&lt;100000,"Low")</f>
        <v>Medium</v>
      </c>
      <c r="N924" t="str">
        <f>TEXT(Table1[[#This Row],[Order_Date]],"MMMM")</f>
        <v>December</v>
      </c>
      <c r="O924">
        <f>YEAR(Table1[[#This Row],[Order_Date]])</f>
        <v>2027</v>
      </c>
    </row>
    <row r="925" spans="1:15" x14ac:dyDescent="0.3">
      <c r="A925" t="s">
        <v>956</v>
      </c>
      <c r="B925" s="1">
        <v>46744</v>
      </c>
      <c r="C925" t="s">
        <v>12</v>
      </c>
      <c r="D925" t="s">
        <v>21</v>
      </c>
      <c r="E925" t="s">
        <v>32</v>
      </c>
      <c r="F925" s="3">
        <v>3</v>
      </c>
      <c r="G925" s="4">
        <v>17306</v>
      </c>
      <c r="H925" s="4">
        <v>51918</v>
      </c>
      <c r="I925" s="4">
        <v>41848.839999999997</v>
      </c>
      <c r="J925" s="4">
        <v>10069.16</v>
      </c>
      <c r="K925" t="s">
        <v>23</v>
      </c>
      <c r="L925" s="3">
        <f>(Table1[[#This Row],[Profit]]/Table1[[#This Row],[Sales_Amount]])*100</f>
        <v>19.394352632998189</v>
      </c>
      <c r="M925" s="4" t="str" cm="1">
        <f t="array" ref="M925">_xlfn.IFS(Table1[[#This Row],[Sales_Amount]]&gt;200000,"High",AND(Table1[[#This Row],[Sales_Amount]]&gt;100000,Table1[[#This Row],[Sales_Amount]]&lt;200000),"Medium",Table1[[#This Row],[Sales_Amount]]&lt;100000,"Low")</f>
        <v>Low</v>
      </c>
      <c r="N925" t="str">
        <f>TEXT(Table1[[#This Row],[Order_Date]],"MMMM")</f>
        <v>December</v>
      </c>
      <c r="O925">
        <f>YEAR(Table1[[#This Row],[Order_Date]])</f>
        <v>2027</v>
      </c>
    </row>
    <row r="926" spans="1:15" x14ac:dyDescent="0.3">
      <c r="A926" t="s">
        <v>957</v>
      </c>
      <c r="B926" s="1">
        <v>46745</v>
      </c>
      <c r="C926" t="s">
        <v>40</v>
      </c>
      <c r="D926" t="s">
        <v>56</v>
      </c>
      <c r="E926" t="s">
        <v>22</v>
      </c>
      <c r="F926" s="3">
        <v>4</v>
      </c>
      <c r="G926" s="4">
        <v>2315</v>
      </c>
      <c r="H926" s="4">
        <v>9260</v>
      </c>
      <c r="I926" s="4">
        <v>6238.24</v>
      </c>
      <c r="J926" s="4">
        <v>3021.76</v>
      </c>
      <c r="K926" t="s">
        <v>58</v>
      </c>
      <c r="L926" s="3">
        <f>(Table1[[#This Row],[Profit]]/Table1[[#This Row],[Sales_Amount]])*100</f>
        <v>32.632397408207346</v>
      </c>
      <c r="M926" s="4" t="str" cm="1">
        <f t="array" ref="M926">_xlfn.IFS(Table1[[#This Row],[Sales_Amount]]&gt;200000,"High",AND(Table1[[#This Row],[Sales_Amount]]&gt;100000,Table1[[#This Row],[Sales_Amount]]&lt;200000),"Medium",Table1[[#This Row],[Sales_Amount]]&lt;100000,"Low")</f>
        <v>Low</v>
      </c>
      <c r="N926" t="str">
        <f>TEXT(Table1[[#This Row],[Order_Date]],"MMMM")</f>
        <v>December</v>
      </c>
      <c r="O926">
        <f>YEAR(Table1[[#This Row],[Order_Date]])</f>
        <v>2027</v>
      </c>
    </row>
    <row r="927" spans="1:15" x14ac:dyDescent="0.3">
      <c r="A927" t="s">
        <v>958</v>
      </c>
      <c r="B927" s="1">
        <v>46746</v>
      </c>
      <c r="C927" t="s">
        <v>12</v>
      </c>
      <c r="D927" t="s">
        <v>13</v>
      </c>
      <c r="E927" t="s">
        <v>37</v>
      </c>
      <c r="F927" s="3">
        <v>7</v>
      </c>
      <c r="G927" s="4">
        <v>42896</v>
      </c>
      <c r="H927" s="4">
        <v>300272</v>
      </c>
      <c r="I927" s="4">
        <v>261746.11</v>
      </c>
      <c r="J927" s="4">
        <v>38525.89</v>
      </c>
      <c r="K927" t="s">
        <v>26</v>
      </c>
      <c r="L927" s="3">
        <f>(Table1[[#This Row],[Profit]]/Table1[[#This Row],[Sales_Amount]])*100</f>
        <v>12.830330500346351</v>
      </c>
      <c r="M927" s="4" t="str" cm="1">
        <f t="array" ref="M927">_xlfn.IFS(Table1[[#This Row],[Sales_Amount]]&gt;200000,"High",AND(Table1[[#This Row],[Sales_Amount]]&gt;100000,Table1[[#This Row],[Sales_Amount]]&lt;200000),"Medium",Table1[[#This Row],[Sales_Amount]]&lt;100000,"Low")</f>
        <v>High</v>
      </c>
      <c r="N927" t="str">
        <f>TEXT(Table1[[#This Row],[Order_Date]],"MMMM")</f>
        <v>December</v>
      </c>
      <c r="O927">
        <f>YEAR(Table1[[#This Row],[Order_Date]])</f>
        <v>2027</v>
      </c>
    </row>
    <row r="928" spans="1:15" x14ac:dyDescent="0.3">
      <c r="A928" t="s">
        <v>959</v>
      </c>
      <c r="B928" s="1">
        <v>46747</v>
      </c>
      <c r="C928" t="s">
        <v>12</v>
      </c>
      <c r="D928" t="s">
        <v>18</v>
      </c>
      <c r="E928" t="s">
        <v>14</v>
      </c>
      <c r="F928" s="3">
        <v>5</v>
      </c>
      <c r="G928" s="4">
        <v>18704</v>
      </c>
      <c r="H928" s="4">
        <v>93520</v>
      </c>
      <c r="I928" s="4">
        <v>74591.67</v>
      </c>
      <c r="J928" s="4">
        <v>18928.330000000002</v>
      </c>
      <c r="K928" t="s">
        <v>58</v>
      </c>
      <c r="L928" s="3">
        <f>(Table1[[#This Row],[Profit]]/Table1[[#This Row],[Sales_Amount]])*100</f>
        <v>20.239873823781011</v>
      </c>
      <c r="M928" s="4" t="str" cm="1">
        <f t="array" ref="M928">_xlfn.IFS(Table1[[#This Row],[Sales_Amount]]&gt;200000,"High",AND(Table1[[#This Row],[Sales_Amount]]&gt;100000,Table1[[#This Row],[Sales_Amount]]&lt;200000),"Medium",Table1[[#This Row],[Sales_Amount]]&lt;100000,"Low")</f>
        <v>Low</v>
      </c>
      <c r="N928" t="str">
        <f>TEXT(Table1[[#This Row],[Order_Date]],"MMMM")</f>
        <v>December</v>
      </c>
      <c r="O928">
        <f>YEAR(Table1[[#This Row],[Order_Date]])</f>
        <v>2027</v>
      </c>
    </row>
    <row r="929" spans="1:15" x14ac:dyDescent="0.3">
      <c r="A929" t="s">
        <v>960</v>
      </c>
      <c r="B929" s="1">
        <v>46748</v>
      </c>
      <c r="C929" t="s">
        <v>17</v>
      </c>
      <c r="D929" t="s">
        <v>21</v>
      </c>
      <c r="E929" t="s">
        <v>14</v>
      </c>
      <c r="F929" s="3">
        <v>2</v>
      </c>
      <c r="G929" s="4">
        <v>21072</v>
      </c>
      <c r="H929" s="4">
        <v>42144</v>
      </c>
      <c r="I929" s="4">
        <v>32892.550000000003</v>
      </c>
      <c r="J929" s="4">
        <v>9251.4500000000007</v>
      </c>
      <c r="K929" t="s">
        <v>26</v>
      </c>
      <c r="L929" s="3">
        <f>(Table1[[#This Row],[Profit]]/Table1[[#This Row],[Sales_Amount]])*100</f>
        <v>21.951997911921033</v>
      </c>
      <c r="M929" s="4" t="str" cm="1">
        <f t="array" ref="M929">_xlfn.IFS(Table1[[#This Row],[Sales_Amount]]&gt;200000,"High",AND(Table1[[#This Row],[Sales_Amount]]&gt;100000,Table1[[#This Row],[Sales_Amount]]&lt;200000),"Medium",Table1[[#This Row],[Sales_Amount]]&lt;100000,"Low")</f>
        <v>Low</v>
      </c>
      <c r="N929" t="str">
        <f>TEXT(Table1[[#This Row],[Order_Date]],"MMMM")</f>
        <v>December</v>
      </c>
      <c r="O929">
        <f>YEAR(Table1[[#This Row],[Order_Date]])</f>
        <v>2027</v>
      </c>
    </row>
    <row r="930" spans="1:15" x14ac:dyDescent="0.3">
      <c r="A930" t="s">
        <v>961</v>
      </c>
      <c r="B930" s="1">
        <v>46749</v>
      </c>
      <c r="C930" t="s">
        <v>12</v>
      </c>
      <c r="D930" t="s">
        <v>51</v>
      </c>
      <c r="E930" t="s">
        <v>19</v>
      </c>
      <c r="F930" s="3">
        <v>2</v>
      </c>
      <c r="G930" s="4">
        <v>26510</v>
      </c>
      <c r="H930" s="4">
        <v>53020</v>
      </c>
      <c r="I930" s="4">
        <v>46813.94</v>
      </c>
      <c r="J930" s="4">
        <v>6206.06</v>
      </c>
      <c r="K930" t="s">
        <v>15</v>
      </c>
      <c r="L930" s="3">
        <f>(Table1[[#This Row],[Profit]]/Table1[[#This Row],[Sales_Amount]])*100</f>
        <v>11.705130139569974</v>
      </c>
      <c r="M930" s="4" t="str" cm="1">
        <f t="array" ref="M930">_xlfn.IFS(Table1[[#This Row],[Sales_Amount]]&gt;200000,"High",AND(Table1[[#This Row],[Sales_Amount]]&gt;100000,Table1[[#This Row],[Sales_Amount]]&lt;200000),"Medium",Table1[[#This Row],[Sales_Amount]]&lt;100000,"Low")</f>
        <v>Low</v>
      </c>
      <c r="N930" t="str">
        <f>TEXT(Table1[[#This Row],[Order_Date]],"MMMM")</f>
        <v>December</v>
      </c>
      <c r="O930">
        <f>YEAR(Table1[[#This Row],[Order_Date]])</f>
        <v>2027</v>
      </c>
    </row>
    <row r="931" spans="1:15" x14ac:dyDescent="0.3">
      <c r="A931" t="s">
        <v>962</v>
      </c>
      <c r="B931" s="1">
        <v>46750</v>
      </c>
      <c r="C931" t="s">
        <v>40</v>
      </c>
      <c r="D931" t="s">
        <v>56</v>
      </c>
      <c r="E931" t="s">
        <v>19</v>
      </c>
      <c r="F931" s="3">
        <v>9</v>
      </c>
      <c r="G931" s="4">
        <v>8406</v>
      </c>
      <c r="H931" s="4">
        <v>75654</v>
      </c>
      <c r="I931" s="4">
        <v>57238.85</v>
      </c>
      <c r="J931" s="4">
        <v>18415.150000000001</v>
      </c>
      <c r="K931" t="s">
        <v>15</v>
      </c>
      <c r="L931" s="3">
        <f>(Table1[[#This Row],[Profit]]/Table1[[#This Row],[Sales_Amount]])*100</f>
        <v>24.341277394453702</v>
      </c>
      <c r="M931" s="4" t="str" cm="1">
        <f t="array" ref="M931">_xlfn.IFS(Table1[[#This Row],[Sales_Amount]]&gt;200000,"High",AND(Table1[[#This Row],[Sales_Amount]]&gt;100000,Table1[[#This Row],[Sales_Amount]]&lt;200000),"Medium",Table1[[#This Row],[Sales_Amount]]&lt;100000,"Low")</f>
        <v>Low</v>
      </c>
      <c r="N931" t="str">
        <f>TEXT(Table1[[#This Row],[Order_Date]],"MMMM")</f>
        <v>December</v>
      </c>
      <c r="O931">
        <f>YEAR(Table1[[#This Row],[Order_Date]])</f>
        <v>2027</v>
      </c>
    </row>
    <row r="932" spans="1:15" x14ac:dyDescent="0.3">
      <c r="A932" t="s">
        <v>963</v>
      </c>
      <c r="B932" s="1">
        <v>46751</v>
      </c>
      <c r="C932" t="s">
        <v>28</v>
      </c>
      <c r="D932" t="s">
        <v>51</v>
      </c>
      <c r="E932" t="s">
        <v>25</v>
      </c>
      <c r="F932" s="3">
        <v>2</v>
      </c>
      <c r="G932" s="4">
        <v>21039</v>
      </c>
      <c r="H932" s="4">
        <v>42078</v>
      </c>
      <c r="I932" s="4">
        <v>29403.51</v>
      </c>
      <c r="J932" s="4">
        <v>12674.49</v>
      </c>
      <c r="K932" t="s">
        <v>58</v>
      </c>
      <c r="L932" s="3">
        <f>(Table1[[#This Row],[Profit]]/Table1[[#This Row],[Sales_Amount]])*100</f>
        <v>30.121417367745611</v>
      </c>
      <c r="M932" s="4" t="str" cm="1">
        <f t="array" ref="M932">_xlfn.IFS(Table1[[#This Row],[Sales_Amount]]&gt;200000,"High",AND(Table1[[#This Row],[Sales_Amount]]&gt;100000,Table1[[#This Row],[Sales_Amount]]&lt;200000),"Medium",Table1[[#This Row],[Sales_Amount]]&lt;100000,"Low")</f>
        <v>Low</v>
      </c>
      <c r="N932" t="str">
        <f>TEXT(Table1[[#This Row],[Order_Date]],"MMMM")</f>
        <v>December</v>
      </c>
      <c r="O932">
        <f>YEAR(Table1[[#This Row],[Order_Date]])</f>
        <v>2027</v>
      </c>
    </row>
    <row r="933" spans="1:15" x14ac:dyDescent="0.3">
      <c r="A933" t="s">
        <v>964</v>
      </c>
      <c r="B933" s="1">
        <v>46752</v>
      </c>
      <c r="C933" t="s">
        <v>40</v>
      </c>
      <c r="D933" t="s">
        <v>56</v>
      </c>
      <c r="E933" t="s">
        <v>22</v>
      </c>
      <c r="F933" s="3">
        <v>2</v>
      </c>
      <c r="G933" s="4">
        <v>11978</v>
      </c>
      <c r="H933" s="4">
        <v>23956</v>
      </c>
      <c r="I933" s="4">
        <v>15912.36</v>
      </c>
      <c r="J933" s="4">
        <v>8043.64</v>
      </c>
      <c r="K933" t="s">
        <v>58</v>
      </c>
      <c r="L933" s="3">
        <f>(Table1[[#This Row],[Profit]]/Table1[[#This Row],[Sales_Amount]])*100</f>
        <v>33.576723993988985</v>
      </c>
      <c r="M933" s="4" t="str" cm="1">
        <f t="array" ref="M933">_xlfn.IFS(Table1[[#This Row],[Sales_Amount]]&gt;200000,"High",AND(Table1[[#This Row],[Sales_Amount]]&gt;100000,Table1[[#This Row],[Sales_Amount]]&lt;200000),"Medium",Table1[[#This Row],[Sales_Amount]]&lt;100000,"Low")</f>
        <v>Low</v>
      </c>
      <c r="N933" t="str">
        <f>TEXT(Table1[[#This Row],[Order_Date]],"MMMM")</f>
        <v>December</v>
      </c>
      <c r="O933">
        <f>YEAR(Table1[[#This Row],[Order_Date]])</f>
        <v>2027</v>
      </c>
    </row>
    <row r="934" spans="1:15" x14ac:dyDescent="0.3">
      <c r="A934" t="s">
        <v>965</v>
      </c>
      <c r="B934" s="1">
        <v>46753</v>
      </c>
      <c r="C934" t="s">
        <v>17</v>
      </c>
      <c r="D934" t="s">
        <v>34</v>
      </c>
      <c r="E934" t="s">
        <v>25</v>
      </c>
      <c r="F934" s="3">
        <v>1</v>
      </c>
      <c r="G934" s="4">
        <v>32636</v>
      </c>
      <c r="H934" s="4">
        <v>32636</v>
      </c>
      <c r="I934" s="4">
        <v>24804.7</v>
      </c>
      <c r="J934" s="4">
        <v>7831.3</v>
      </c>
      <c r="K934" t="s">
        <v>58</v>
      </c>
      <c r="L934" s="3">
        <f>(Table1[[#This Row],[Profit]]/Table1[[#This Row],[Sales_Amount]])*100</f>
        <v>23.995894104669691</v>
      </c>
      <c r="M934" s="4" t="str" cm="1">
        <f t="array" ref="M934">_xlfn.IFS(Table1[[#This Row],[Sales_Amount]]&gt;200000,"High",AND(Table1[[#This Row],[Sales_Amount]]&gt;100000,Table1[[#This Row],[Sales_Amount]]&lt;200000),"Medium",Table1[[#This Row],[Sales_Amount]]&lt;100000,"Low")</f>
        <v>Low</v>
      </c>
      <c r="N934" t="str">
        <f>TEXT(Table1[[#This Row],[Order_Date]],"MMMM")</f>
        <v>January</v>
      </c>
      <c r="O934">
        <f>YEAR(Table1[[#This Row],[Order_Date]])</f>
        <v>2028</v>
      </c>
    </row>
    <row r="935" spans="1:15" x14ac:dyDescent="0.3">
      <c r="A935" t="s">
        <v>966</v>
      </c>
      <c r="B935" s="1">
        <v>46754</v>
      </c>
      <c r="C935" t="s">
        <v>12</v>
      </c>
      <c r="D935" t="s">
        <v>34</v>
      </c>
      <c r="E935" t="s">
        <v>19</v>
      </c>
      <c r="F935" s="3">
        <v>4</v>
      </c>
      <c r="G935" s="4">
        <v>18701</v>
      </c>
      <c r="H935" s="4">
        <v>74804</v>
      </c>
      <c r="I935" s="4">
        <v>64617.94</v>
      </c>
      <c r="J935" s="4">
        <v>10186.06</v>
      </c>
      <c r="K935" t="s">
        <v>58</v>
      </c>
      <c r="L935" s="3">
        <f>(Table1[[#This Row],[Profit]]/Table1[[#This Row],[Sales_Amount]])*100</f>
        <v>13.616999090957702</v>
      </c>
      <c r="M935" s="4" t="str" cm="1">
        <f t="array" ref="M935">_xlfn.IFS(Table1[[#This Row],[Sales_Amount]]&gt;200000,"High",AND(Table1[[#This Row],[Sales_Amount]]&gt;100000,Table1[[#This Row],[Sales_Amount]]&lt;200000),"Medium",Table1[[#This Row],[Sales_Amount]]&lt;100000,"Low")</f>
        <v>Low</v>
      </c>
      <c r="N935" t="str">
        <f>TEXT(Table1[[#This Row],[Order_Date]],"MMMM")</f>
        <v>January</v>
      </c>
      <c r="O935">
        <f>YEAR(Table1[[#This Row],[Order_Date]])</f>
        <v>2028</v>
      </c>
    </row>
    <row r="936" spans="1:15" x14ac:dyDescent="0.3">
      <c r="A936" t="s">
        <v>967</v>
      </c>
      <c r="B936" s="1">
        <v>46755</v>
      </c>
      <c r="C936" t="s">
        <v>17</v>
      </c>
      <c r="D936" t="s">
        <v>18</v>
      </c>
      <c r="E936" t="s">
        <v>32</v>
      </c>
      <c r="F936" s="3">
        <v>1</v>
      </c>
      <c r="G936" s="4">
        <v>42796</v>
      </c>
      <c r="H936" s="4">
        <v>42796</v>
      </c>
      <c r="I936" s="4">
        <v>38090.22</v>
      </c>
      <c r="J936" s="4">
        <v>4705.78</v>
      </c>
      <c r="K936" t="s">
        <v>23</v>
      </c>
      <c r="L936" s="3">
        <f>(Table1[[#This Row],[Profit]]/Table1[[#This Row],[Sales_Amount]])*100</f>
        <v>10.995840732778763</v>
      </c>
      <c r="M936" s="4" t="str" cm="1">
        <f t="array" ref="M936">_xlfn.IFS(Table1[[#This Row],[Sales_Amount]]&gt;200000,"High",AND(Table1[[#This Row],[Sales_Amount]]&gt;100000,Table1[[#This Row],[Sales_Amount]]&lt;200000),"Medium",Table1[[#This Row],[Sales_Amount]]&lt;100000,"Low")</f>
        <v>Low</v>
      </c>
      <c r="N936" t="str">
        <f>TEXT(Table1[[#This Row],[Order_Date]],"MMMM")</f>
        <v>January</v>
      </c>
      <c r="O936">
        <f>YEAR(Table1[[#This Row],[Order_Date]])</f>
        <v>2028</v>
      </c>
    </row>
    <row r="937" spans="1:15" x14ac:dyDescent="0.3">
      <c r="A937" t="s">
        <v>968</v>
      </c>
      <c r="B937" s="1">
        <v>46756</v>
      </c>
      <c r="C937" t="s">
        <v>40</v>
      </c>
      <c r="D937" t="s">
        <v>29</v>
      </c>
      <c r="E937" t="s">
        <v>25</v>
      </c>
      <c r="F937" s="3">
        <v>7</v>
      </c>
      <c r="G937" s="4">
        <v>20768</v>
      </c>
      <c r="H937" s="4">
        <v>145376</v>
      </c>
      <c r="I937" s="4">
        <v>115091.96</v>
      </c>
      <c r="J937" s="4">
        <v>30284.04</v>
      </c>
      <c r="K937" t="s">
        <v>23</v>
      </c>
      <c r="L937" s="3">
        <f>(Table1[[#This Row],[Profit]]/Table1[[#This Row],[Sales_Amount]])*100</f>
        <v>20.831526524323134</v>
      </c>
      <c r="M937" s="4" t="str" cm="1">
        <f t="array" ref="M937">_xlfn.IFS(Table1[[#This Row],[Sales_Amount]]&gt;200000,"High",AND(Table1[[#This Row],[Sales_Amount]]&gt;100000,Table1[[#This Row],[Sales_Amount]]&lt;200000),"Medium",Table1[[#This Row],[Sales_Amount]]&lt;100000,"Low")</f>
        <v>Medium</v>
      </c>
      <c r="N937" t="str">
        <f>TEXT(Table1[[#This Row],[Order_Date]],"MMMM")</f>
        <v>January</v>
      </c>
      <c r="O937">
        <f>YEAR(Table1[[#This Row],[Order_Date]])</f>
        <v>2028</v>
      </c>
    </row>
    <row r="938" spans="1:15" x14ac:dyDescent="0.3">
      <c r="A938" t="s">
        <v>969</v>
      </c>
      <c r="B938" s="1">
        <v>46757</v>
      </c>
      <c r="C938" t="s">
        <v>40</v>
      </c>
      <c r="D938" t="s">
        <v>44</v>
      </c>
      <c r="E938" t="s">
        <v>37</v>
      </c>
      <c r="F938" s="3">
        <v>1</v>
      </c>
      <c r="G938" s="4">
        <v>26254</v>
      </c>
      <c r="H938" s="4">
        <v>26254</v>
      </c>
      <c r="I938" s="4">
        <v>23057.63</v>
      </c>
      <c r="J938" s="4">
        <v>3196.37</v>
      </c>
      <c r="K938" t="s">
        <v>15</v>
      </c>
      <c r="L938" s="3">
        <f>(Table1[[#This Row],[Profit]]/Table1[[#This Row],[Sales_Amount]])*100</f>
        <v>12.174792412584749</v>
      </c>
      <c r="M938" s="4" t="str" cm="1">
        <f t="array" ref="M938">_xlfn.IFS(Table1[[#This Row],[Sales_Amount]]&gt;200000,"High",AND(Table1[[#This Row],[Sales_Amount]]&gt;100000,Table1[[#This Row],[Sales_Amount]]&lt;200000),"Medium",Table1[[#This Row],[Sales_Amount]]&lt;100000,"Low")</f>
        <v>Low</v>
      </c>
      <c r="N938" t="str">
        <f>TEXT(Table1[[#This Row],[Order_Date]],"MMMM")</f>
        <v>January</v>
      </c>
      <c r="O938">
        <f>YEAR(Table1[[#This Row],[Order_Date]])</f>
        <v>2028</v>
      </c>
    </row>
    <row r="939" spans="1:15" x14ac:dyDescent="0.3">
      <c r="A939" t="s">
        <v>970</v>
      </c>
      <c r="B939" s="1">
        <v>46758</v>
      </c>
      <c r="C939" t="s">
        <v>40</v>
      </c>
      <c r="D939" t="s">
        <v>21</v>
      </c>
      <c r="E939" t="s">
        <v>32</v>
      </c>
      <c r="F939" s="3">
        <v>4</v>
      </c>
      <c r="G939" s="4">
        <v>11000</v>
      </c>
      <c r="H939" s="4">
        <v>44000</v>
      </c>
      <c r="I939" s="4">
        <v>38489.760000000002</v>
      </c>
      <c r="J939" s="4">
        <v>5510.24</v>
      </c>
      <c r="K939" t="s">
        <v>15</v>
      </c>
      <c r="L939" s="3">
        <f>(Table1[[#This Row],[Profit]]/Table1[[#This Row],[Sales_Amount]])*100</f>
        <v>12.523272727272728</v>
      </c>
      <c r="M939" s="4" t="str" cm="1">
        <f t="array" ref="M939">_xlfn.IFS(Table1[[#This Row],[Sales_Amount]]&gt;200000,"High",AND(Table1[[#This Row],[Sales_Amount]]&gt;100000,Table1[[#This Row],[Sales_Amount]]&lt;200000),"Medium",Table1[[#This Row],[Sales_Amount]]&lt;100000,"Low")</f>
        <v>Low</v>
      </c>
      <c r="N939" t="str">
        <f>TEXT(Table1[[#This Row],[Order_Date]],"MMMM")</f>
        <v>January</v>
      </c>
      <c r="O939">
        <f>YEAR(Table1[[#This Row],[Order_Date]])</f>
        <v>2028</v>
      </c>
    </row>
    <row r="940" spans="1:15" x14ac:dyDescent="0.3">
      <c r="A940" t="s">
        <v>971</v>
      </c>
      <c r="B940" s="1">
        <v>46759</v>
      </c>
      <c r="C940" t="s">
        <v>40</v>
      </c>
      <c r="D940" t="s">
        <v>21</v>
      </c>
      <c r="E940" t="s">
        <v>14</v>
      </c>
      <c r="F940" s="3">
        <v>8</v>
      </c>
      <c r="G940" s="4">
        <v>31373</v>
      </c>
      <c r="H940" s="4">
        <v>250984</v>
      </c>
      <c r="I940" s="4">
        <v>206078.59</v>
      </c>
      <c r="J940" s="4">
        <v>44905.41</v>
      </c>
      <c r="K940" t="s">
        <v>15</v>
      </c>
      <c r="L940" s="3">
        <f>(Table1[[#This Row],[Profit]]/Table1[[#This Row],[Sales_Amount]])*100</f>
        <v>17.891742103082269</v>
      </c>
      <c r="M940" s="4" t="str" cm="1">
        <f t="array" ref="M940">_xlfn.IFS(Table1[[#This Row],[Sales_Amount]]&gt;200000,"High",AND(Table1[[#This Row],[Sales_Amount]]&gt;100000,Table1[[#This Row],[Sales_Amount]]&lt;200000),"Medium",Table1[[#This Row],[Sales_Amount]]&lt;100000,"Low")</f>
        <v>High</v>
      </c>
      <c r="N940" t="str">
        <f>TEXT(Table1[[#This Row],[Order_Date]],"MMMM")</f>
        <v>January</v>
      </c>
      <c r="O940">
        <f>YEAR(Table1[[#This Row],[Order_Date]])</f>
        <v>2028</v>
      </c>
    </row>
    <row r="941" spans="1:15" x14ac:dyDescent="0.3">
      <c r="A941" t="s">
        <v>972</v>
      </c>
      <c r="B941" s="1">
        <v>46760</v>
      </c>
      <c r="C941" t="s">
        <v>28</v>
      </c>
      <c r="D941" t="s">
        <v>34</v>
      </c>
      <c r="E941" t="s">
        <v>19</v>
      </c>
      <c r="F941" s="3">
        <v>5</v>
      </c>
      <c r="G941" s="4">
        <v>33683</v>
      </c>
      <c r="H941" s="4">
        <v>168415</v>
      </c>
      <c r="I941" s="4">
        <v>104402.17</v>
      </c>
      <c r="J941" s="4">
        <v>64012.83</v>
      </c>
      <c r="K941" t="s">
        <v>58</v>
      </c>
      <c r="L941" s="3">
        <f>(Table1[[#This Row],[Profit]]/Table1[[#This Row],[Sales_Amount]])*100</f>
        <v>38.008983760353885</v>
      </c>
      <c r="M941" s="4" t="str" cm="1">
        <f t="array" ref="M941">_xlfn.IFS(Table1[[#This Row],[Sales_Amount]]&gt;200000,"High",AND(Table1[[#This Row],[Sales_Amount]]&gt;100000,Table1[[#This Row],[Sales_Amount]]&lt;200000),"Medium",Table1[[#This Row],[Sales_Amount]]&lt;100000,"Low")</f>
        <v>Medium</v>
      </c>
      <c r="N941" t="str">
        <f>TEXT(Table1[[#This Row],[Order_Date]],"MMMM")</f>
        <v>January</v>
      </c>
      <c r="O941">
        <f>YEAR(Table1[[#This Row],[Order_Date]])</f>
        <v>2028</v>
      </c>
    </row>
    <row r="942" spans="1:15" x14ac:dyDescent="0.3">
      <c r="A942" t="s">
        <v>973</v>
      </c>
      <c r="B942" s="1">
        <v>46761</v>
      </c>
      <c r="C942" t="s">
        <v>28</v>
      </c>
      <c r="D942" t="s">
        <v>13</v>
      </c>
      <c r="E942" t="s">
        <v>14</v>
      </c>
      <c r="F942" s="3">
        <v>1</v>
      </c>
      <c r="G942" s="4">
        <v>42533</v>
      </c>
      <c r="H942" s="4">
        <v>42533</v>
      </c>
      <c r="I942" s="4">
        <v>33706.46</v>
      </c>
      <c r="J942" s="4">
        <v>8826.5400000000009</v>
      </c>
      <c r="K942" t="s">
        <v>15</v>
      </c>
      <c r="L942" s="3">
        <f>(Table1[[#This Row],[Profit]]/Table1[[#This Row],[Sales_Amount]])*100</f>
        <v>20.752215926457108</v>
      </c>
      <c r="M942" s="4" t="str" cm="1">
        <f t="array" ref="M942">_xlfn.IFS(Table1[[#This Row],[Sales_Amount]]&gt;200000,"High",AND(Table1[[#This Row],[Sales_Amount]]&gt;100000,Table1[[#This Row],[Sales_Amount]]&lt;200000),"Medium",Table1[[#This Row],[Sales_Amount]]&lt;100000,"Low")</f>
        <v>Low</v>
      </c>
      <c r="N942" t="str">
        <f>TEXT(Table1[[#This Row],[Order_Date]],"MMMM")</f>
        <v>January</v>
      </c>
      <c r="O942">
        <f>YEAR(Table1[[#This Row],[Order_Date]])</f>
        <v>2028</v>
      </c>
    </row>
    <row r="943" spans="1:15" x14ac:dyDescent="0.3">
      <c r="A943" t="s">
        <v>974</v>
      </c>
      <c r="B943" s="1">
        <v>46762</v>
      </c>
      <c r="C943" t="s">
        <v>17</v>
      </c>
      <c r="D943" t="s">
        <v>13</v>
      </c>
      <c r="E943" t="s">
        <v>22</v>
      </c>
      <c r="F943" s="3">
        <v>5</v>
      </c>
      <c r="G943" s="4">
        <v>21060</v>
      </c>
      <c r="H943" s="4">
        <v>105300</v>
      </c>
      <c r="I943" s="4">
        <v>81369.820000000007</v>
      </c>
      <c r="J943" s="4">
        <v>23930.18</v>
      </c>
      <c r="K943" t="s">
        <v>23</v>
      </c>
      <c r="L943" s="3">
        <f>(Table1[[#This Row],[Profit]]/Table1[[#This Row],[Sales_Amount]])*100</f>
        <v>22.725716999050334</v>
      </c>
      <c r="M943" s="4" t="str" cm="1">
        <f t="array" ref="M943">_xlfn.IFS(Table1[[#This Row],[Sales_Amount]]&gt;200000,"High",AND(Table1[[#This Row],[Sales_Amount]]&gt;100000,Table1[[#This Row],[Sales_Amount]]&lt;200000),"Medium",Table1[[#This Row],[Sales_Amount]]&lt;100000,"Low")</f>
        <v>Medium</v>
      </c>
      <c r="N943" t="str">
        <f>TEXT(Table1[[#This Row],[Order_Date]],"MMMM")</f>
        <v>January</v>
      </c>
      <c r="O943">
        <f>YEAR(Table1[[#This Row],[Order_Date]])</f>
        <v>2028</v>
      </c>
    </row>
    <row r="944" spans="1:15" x14ac:dyDescent="0.3">
      <c r="A944" t="s">
        <v>975</v>
      </c>
      <c r="B944" s="1">
        <v>46763</v>
      </c>
      <c r="C944" t="s">
        <v>40</v>
      </c>
      <c r="D944" t="s">
        <v>56</v>
      </c>
      <c r="E944" t="s">
        <v>19</v>
      </c>
      <c r="F944" s="3">
        <v>3</v>
      </c>
      <c r="G944" s="4">
        <v>39429</v>
      </c>
      <c r="H944" s="4">
        <v>118287</v>
      </c>
      <c r="I944" s="4">
        <v>95306.91</v>
      </c>
      <c r="J944" s="4">
        <v>22980.09</v>
      </c>
      <c r="K944" t="s">
        <v>58</v>
      </c>
      <c r="L944" s="3">
        <f>(Table1[[#This Row],[Profit]]/Table1[[#This Row],[Sales_Amount]])*100</f>
        <v>19.427401151436761</v>
      </c>
      <c r="M944" s="4" t="str" cm="1">
        <f t="array" ref="M944">_xlfn.IFS(Table1[[#This Row],[Sales_Amount]]&gt;200000,"High",AND(Table1[[#This Row],[Sales_Amount]]&gt;100000,Table1[[#This Row],[Sales_Amount]]&lt;200000),"Medium",Table1[[#This Row],[Sales_Amount]]&lt;100000,"Low")</f>
        <v>Medium</v>
      </c>
      <c r="N944" t="str">
        <f>TEXT(Table1[[#This Row],[Order_Date]],"MMMM")</f>
        <v>January</v>
      </c>
      <c r="O944">
        <f>YEAR(Table1[[#This Row],[Order_Date]])</f>
        <v>2028</v>
      </c>
    </row>
    <row r="945" spans="1:15" x14ac:dyDescent="0.3">
      <c r="A945" t="s">
        <v>976</v>
      </c>
      <c r="B945" s="1">
        <v>46764</v>
      </c>
      <c r="C945" t="s">
        <v>40</v>
      </c>
      <c r="D945" t="s">
        <v>44</v>
      </c>
      <c r="E945" t="s">
        <v>32</v>
      </c>
      <c r="F945" s="3">
        <v>3</v>
      </c>
      <c r="G945" s="4">
        <v>45553</v>
      </c>
      <c r="H945" s="4">
        <v>136659</v>
      </c>
      <c r="I945" s="4">
        <v>106307.87</v>
      </c>
      <c r="J945" s="4">
        <v>30351.13</v>
      </c>
      <c r="K945" t="s">
        <v>23</v>
      </c>
      <c r="L945" s="3">
        <f>(Table1[[#This Row],[Profit]]/Table1[[#This Row],[Sales_Amount]])*100</f>
        <v>22.209389795037282</v>
      </c>
      <c r="M945" s="4" t="str" cm="1">
        <f t="array" ref="M945">_xlfn.IFS(Table1[[#This Row],[Sales_Amount]]&gt;200000,"High",AND(Table1[[#This Row],[Sales_Amount]]&gt;100000,Table1[[#This Row],[Sales_Amount]]&lt;200000),"Medium",Table1[[#This Row],[Sales_Amount]]&lt;100000,"Low")</f>
        <v>Medium</v>
      </c>
      <c r="N945" t="str">
        <f>TEXT(Table1[[#This Row],[Order_Date]],"MMMM")</f>
        <v>January</v>
      </c>
      <c r="O945">
        <f>YEAR(Table1[[#This Row],[Order_Date]])</f>
        <v>2028</v>
      </c>
    </row>
    <row r="946" spans="1:15" x14ac:dyDescent="0.3">
      <c r="A946" t="s">
        <v>977</v>
      </c>
      <c r="B946" s="1">
        <v>46765</v>
      </c>
      <c r="C946" t="s">
        <v>28</v>
      </c>
      <c r="D946" t="s">
        <v>51</v>
      </c>
      <c r="E946" t="s">
        <v>37</v>
      </c>
      <c r="F946" s="3">
        <v>6</v>
      </c>
      <c r="G946" s="4">
        <v>12420</v>
      </c>
      <c r="H946" s="4">
        <v>74520</v>
      </c>
      <c r="I946" s="4">
        <v>53508.959999999999</v>
      </c>
      <c r="J946" s="4">
        <v>21011.040000000001</v>
      </c>
      <c r="K946" t="s">
        <v>15</v>
      </c>
      <c r="L946" s="3">
        <f>(Table1[[#This Row],[Profit]]/Table1[[#This Row],[Sales_Amount]])*100</f>
        <v>28.195169082125602</v>
      </c>
      <c r="M946" s="4" t="str" cm="1">
        <f t="array" ref="M946">_xlfn.IFS(Table1[[#This Row],[Sales_Amount]]&gt;200000,"High",AND(Table1[[#This Row],[Sales_Amount]]&gt;100000,Table1[[#This Row],[Sales_Amount]]&lt;200000),"Medium",Table1[[#This Row],[Sales_Amount]]&lt;100000,"Low")</f>
        <v>Low</v>
      </c>
      <c r="N946" t="str">
        <f>TEXT(Table1[[#This Row],[Order_Date]],"MMMM")</f>
        <v>January</v>
      </c>
      <c r="O946">
        <f>YEAR(Table1[[#This Row],[Order_Date]])</f>
        <v>2028</v>
      </c>
    </row>
    <row r="947" spans="1:15" x14ac:dyDescent="0.3">
      <c r="A947" t="s">
        <v>978</v>
      </c>
      <c r="B947" s="1">
        <v>46766</v>
      </c>
      <c r="C947" t="s">
        <v>17</v>
      </c>
      <c r="D947" t="s">
        <v>56</v>
      </c>
      <c r="E947" t="s">
        <v>25</v>
      </c>
      <c r="F947" s="3">
        <v>10</v>
      </c>
      <c r="G947" s="4">
        <v>41566</v>
      </c>
      <c r="H947" s="4">
        <v>415660</v>
      </c>
      <c r="I947" s="4">
        <v>277915.34000000003</v>
      </c>
      <c r="J947" s="4">
        <v>137744.66</v>
      </c>
      <c r="K947" t="s">
        <v>23</v>
      </c>
      <c r="L947" s="3">
        <f>(Table1[[#This Row],[Profit]]/Table1[[#This Row],[Sales_Amount]])*100</f>
        <v>33.138781696578931</v>
      </c>
      <c r="M947" s="4" t="str" cm="1">
        <f t="array" ref="M947">_xlfn.IFS(Table1[[#This Row],[Sales_Amount]]&gt;200000,"High",AND(Table1[[#This Row],[Sales_Amount]]&gt;100000,Table1[[#This Row],[Sales_Amount]]&lt;200000),"Medium",Table1[[#This Row],[Sales_Amount]]&lt;100000,"Low")</f>
        <v>High</v>
      </c>
      <c r="N947" t="str">
        <f>TEXT(Table1[[#This Row],[Order_Date]],"MMMM")</f>
        <v>January</v>
      </c>
      <c r="O947">
        <f>YEAR(Table1[[#This Row],[Order_Date]])</f>
        <v>2028</v>
      </c>
    </row>
    <row r="948" spans="1:15" x14ac:dyDescent="0.3">
      <c r="A948" t="s">
        <v>979</v>
      </c>
      <c r="B948" s="1">
        <v>46767</v>
      </c>
      <c r="C948" t="s">
        <v>28</v>
      </c>
      <c r="D948" t="s">
        <v>44</v>
      </c>
      <c r="E948" t="s">
        <v>19</v>
      </c>
      <c r="F948" s="3">
        <v>3</v>
      </c>
      <c r="G948" s="4">
        <v>3762</v>
      </c>
      <c r="H948" s="4">
        <v>11286</v>
      </c>
      <c r="I948" s="4">
        <v>8129.42</v>
      </c>
      <c r="J948" s="4">
        <v>3156.58</v>
      </c>
      <c r="K948" t="s">
        <v>23</v>
      </c>
      <c r="L948" s="3">
        <f>(Table1[[#This Row],[Profit]]/Table1[[#This Row],[Sales_Amount]])*100</f>
        <v>27.968988126882866</v>
      </c>
      <c r="M948" s="4" t="str" cm="1">
        <f t="array" ref="M948">_xlfn.IFS(Table1[[#This Row],[Sales_Amount]]&gt;200000,"High",AND(Table1[[#This Row],[Sales_Amount]]&gt;100000,Table1[[#This Row],[Sales_Amount]]&lt;200000),"Medium",Table1[[#This Row],[Sales_Amount]]&lt;100000,"Low")</f>
        <v>Low</v>
      </c>
      <c r="N948" t="str">
        <f>TEXT(Table1[[#This Row],[Order_Date]],"MMMM")</f>
        <v>January</v>
      </c>
      <c r="O948">
        <f>YEAR(Table1[[#This Row],[Order_Date]])</f>
        <v>2028</v>
      </c>
    </row>
    <row r="949" spans="1:15" x14ac:dyDescent="0.3">
      <c r="A949" t="s">
        <v>980</v>
      </c>
      <c r="B949" s="1">
        <v>46768</v>
      </c>
      <c r="C949" t="s">
        <v>28</v>
      </c>
      <c r="D949" t="s">
        <v>56</v>
      </c>
      <c r="E949" t="s">
        <v>32</v>
      </c>
      <c r="F949" s="3">
        <v>3</v>
      </c>
      <c r="G949" s="4">
        <v>37674</v>
      </c>
      <c r="H949" s="4">
        <v>113022</v>
      </c>
      <c r="I949" s="4">
        <v>71792.160000000003</v>
      </c>
      <c r="J949" s="4">
        <v>41229.839999999997</v>
      </c>
      <c r="K949" t="s">
        <v>58</v>
      </c>
      <c r="L949" s="3">
        <f>(Table1[[#This Row],[Profit]]/Table1[[#This Row],[Sales_Amount]])*100</f>
        <v>36.479481870786216</v>
      </c>
      <c r="M949" s="4" t="str" cm="1">
        <f t="array" ref="M949">_xlfn.IFS(Table1[[#This Row],[Sales_Amount]]&gt;200000,"High",AND(Table1[[#This Row],[Sales_Amount]]&gt;100000,Table1[[#This Row],[Sales_Amount]]&lt;200000),"Medium",Table1[[#This Row],[Sales_Amount]]&lt;100000,"Low")</f>
        <v>Medium</v>
      </c>
      <c r="N949" t="str">
        <f>TEXT(Table1[[#This Row],[Order_Date]],"MMMM")</f>
        <v>January</v>
      </c>
      <c r="O949">
        <f>YEAR(Table1[[#This Row],[Order_Date]])</f>
        <v>2028</v>
      </c>
    </row>
    <row r="950" spans="1:15" x14ac:dyDescent="0.3">
      <c r="A950" t="s">
        <v>981</v>
      </c>
      <c r="B950" s="1">
        <v>46769</v>
      </c>
      <c r="C950" t="s">
        <v>40</v>
      </c>
      <c r="D950" t="s">
        <v>44</v>
      </c>
      <c r="E950" t="s">
        <v>22</v>
      </c>
      <c r="F950" s="3">
        <v>4</v>
      </c>
      <c r="G950" s="4">
        <v>12987</v>
      </c>
      <c r="H950" s="4">
        <v>51948</v>
      </c>
      <c r="I950" s="4">
        <v>45912.46</v>
      </c>
      <c r="J950" s="4">
        <v>6035.54</v>
      </c>
      <c r="K950" t="s">
        <v>58</v>
      </c>
      <c r="L950" s="3">
        <f>(Table1[[#This Row],[Profit]]/Table1[[#This Row],[Sales_Amount]])*100</f>
        <v>11.618426118426118</v>
      </c>
      <c r="M950" s="4" t="str" cm="1">
        <f t="array" ref="M950">_xlfn.IFS(Table1[[#This Row],[Sales_Amount]]&gt;200000,"High",AND(Table1[[#This Row],[Sales_Amount]]&gt;100000,Table1[[#This Row],[Sales_Amount]]&lt;200000),"Medium",Table1[[#This Row],[Sales_Amount]]&lt;100000,"Low")</f>
        <v>Low</v>
      </c>
      <c r="N950" t="str">
        <f>TEXT(Table1[[#This Row],[Order_Date]],"MMMM")</f>
        <v>January</v>
      </c>
      <c r="O950">
        <f>YEAR(Table1[[#This Row],[Order_Date]])</f>
        <v>2028</v>
      </c>
    </row>
    <row r="951" spans="1:15" x14ac:dyDescent="0.3">
      <c r="A951" t="s">
        <v>982</v>
      </c>
      <c r="B951" s="1">
        <v>46770</v>
      </c>
      <c r="C951" t="s">
        <v>40</v>
      </c>
      <c r="D951" t="s">
        <v>51</v>
      </c>
      <c r="E951" t="s">
        <v>22</v>
      </c>
      <c r="F951" s="3">
        <v>7</v>
      </c>
      <c r="G951" s="4">
        <v>14040</v>
      </c>
      <c r="H951" s="4">
        <v>98280</v>
      </c>
      <c r="I951" s="4">
        <v>76660.84</v>
      </c>
      <c r="J951" s="4">
        <v>21619.16</v>
      </c>
      <c r="K951" t="s">
        <v>58</v>
      </c>
      <c r="L951" s="3">
        <f>(Table1[[#This Row],[Profit]]/Table1[[#This Row],[Sales_Amount]])*100</f>
        <v>21.997517297517298</v>
      </c>
      <c r="M951" s="4" t="str" cm="1">
        <f t="array" ref="M951">_xlfn.IFS(Table1[[#This Row],[Sales_Amount]]&gt;200000,"High",AND(Table1[[#This Row],[Sales_Amount]]&gt;100000,Table1[[#This Row],[Sales_Amount]]&lt;200000),"Medium",Table1[[#This Row],[Sales_Amount]]&lt;100000,"Low")</f>
        <v>Low</v>
      </c>
      <c r="N951" t="str">
        <f>TEXT(Table1[[#This Row],[Order_Date]],"MMMM")</f>
        <v>January</v>
      </c>
      <c r="O951">
        <f>YEAR(Table1[[#This Row],[Order_Date]])</f>
        <v>2028</v>
      </c>
    </row>
    <row r="952" spans="1:15" x14ac:dyDescent="0.3">
      <c r="A952" t="s">
        <v>983</v>
      </c>
      <c r="B952" s="1">
        <v>46771</v>
      </c>
      <c r="C952" t="s">
        <v>40</v>
      </c>
      <c r="D952" t="s">
        <v>51</v>
      </c>
      <c r="E952" t="s">
        <v>37</v>
      </c>
      <c r="F952" s="3">
        <v>3</v>
      </c>
      <c r="G952" s="4">
        <v>2385</v>
      </c>
      <c r="H952" s="4">
        <v>7155</v>
      </c>
      <c r="I952" s="4">
        <v>4915.8999999999996</v>
      </c>
      <c r="J952" s="4">
        <v>2239.1</v>
      </c>
      <c r="K952" t="s">
        <v>58</v>
      </c>
      <c r="L952" s="3">
        <f>(Table1[[#This Row],[Profit]]/Table1[[#This Row],[Sales_Amount]])*100</f>
        <v>31.294199860237594</v>
      </c>
      <c r="M952" s="4" t="str" cm="1">
        <f t="array" ref="M952">_xlfn.IFS(Table1[[#This Row],[Sales_Amount]]&gt;200000,"High",AND(Table1[[#This Row],[Sales_Amount]]&gt;100000,Table1[[#This Row],[Sales_Amount]]&lt;200000),"Medium",Table1[[#This Row],[Sales_Amount]]&lt;100000,"Low")</f>
        <v>Low</v>
      </c>
      <c r="N952" t="str">
        <f>TEXT(Table1[[#This Row],[Order_Date]],"MMMM")</f>
        <v>January</v>
      </c>
      <c r="O952">
        <f>YEAR(Table1[[#This Row],[Order_Date]])</f>
        <v>2028</v>
      </c>
    </row>
    <row r="953" spans="1:15" x14ac:dyDescent="0.3">
      <c r="A953" t="s">
        <v>984</v>
      </c>
      <c r="B953" s="1">
        <v>46772</v>
      </c>
      <c r="C953" t="s">
        <v>17</v>
      </c>
      <c r="D953" t="s">
        <v>18</v>
      </c>
      <c r="E953" t="s">
        <v>32</v>
      </c>
      <c r="F953" s="3">
        <v>10</v>
      </c>
      <c r="G953" s="4">
        <v>45344</v>
      </c>
      <c r="H953" s="4">
        <v>453440</v>
      </c>
      <c r="I953" s="4">
        <v>360108.75</v>
      </c>
      <c r="J953" s="4">
        <v>93331.25</v>
      </c>
      <c r="K953" t="s">
        <v>58</v>
      </c>
      <c r="L953" s="3">
        <f>(Table1[[#This Row],[Profit]]/Table1[[#This Row],[Sales_Amount]])*100</f>
        <v>20.582932692307693</v>
      </c>
      <c r="M953" s="4" t="str" cm="1">
        <f t="array" ref="M953">_xlfn.IFS(Table1[[#This Row],[Sales_Amount]]&gt;200000,"High",AND(Table1[[#This Row],[Sales_Amount]]&gt;100000,Table1[[#This Row],[Sales_Amount]]&lt;200000),"Medium",Table1[[#This Row],[Sales_Amount]]&lt;100000,"Low")</f>
        <v>High</v>
      </c>
      <c r="N953" t="str">
        <f>TEXT(Table1[[#This Row],[Order_Date]],"MMMM")</f>
        <v>January</v>
      </c>
      <c r="O953">
        <f>YEAR(Table1[[#This Row],[Order_Date]])</f>
        <v>2028</v>
      </c>
    </row>
    <row r="954" spans="1:15" x14ac:dyDescent="0.3">
      <c r="A954" t="s">
        <v>985</v>
      </c>
      <c r="B954" s="1">
        <v>46773</v>
      </c>
      <c r="C954" t="s">
        <v>28</v>
      </c>
      <c r="D954" t="s">
        <v>21</v>
      </c>
      <c r="E954" t="s">
        <v>32</v>
      </c>
      <c r="F954" s="3">
        <v>7</v>
      </c>
      <c r="G954" s="4">
        <v>45513</v>
      </c>
      <c r="H954" s="4">
        <v>318591</v>
      </c>
      <c r="I954" s="4">
        <v>211437.79</v>
      </c>
      <c r="J954" s="4">
        <v>107153.21</v>
      </c>
      <c r="K954" t="s">
        <v>26</v>
      </c>
      <c r="L954" s="3">
        <f>(Table1[[#This Row],[Profit]]/Table1[[#This Row],[Sales_Amount]])*100</f>
        <v>33.633470499794413</v>
      </c>
      <c r="M954" s="4" t="str" cm="1">
        <f t="array" ref="M954">_xlfn.IFS(Table1[[#This Row],[Sales_Amount]]&gt;200000,"High",AND(Table1[[#This Row],[Sales_Amount]]&gt;100000,Table1[[#This Row],[Sales_Amount]]&lt;200000),"Medium",Table1[[#This Row],[Sales_Amount]]&lt;100000,"Low")</f>
        <v>High</v>
      </c>
      <c r="N954" t="str">
        <f>TEXT(Table1[[#This Row],[Order_Date]],"MMMM")</f>
        <v>January</v>
      </c>
      <c r="O954">
        <f>YEAR(Table1[[#This Row],[Order_Date]])</f>
        <v>2028</v>
      </c>
    </row>
    <row r="955" spans="1:15" x14ac:dyDescent="0.3">
      <c r="A955" t="s">
        <v>986</v>
      </c>
      <c r="B955" s="1">
        <v>46774</v>
      </c>
      <c r="C955" t="s">
        <v>12</v>
      </c>
      <c r="D955" t="s">
        <v>56</v>
      </c>
      <c r="E955" t="s">
        <v>14</v>
      </c>
      <c r="F955" s="3">
        <v>9</v>
      </c>
      <c r="G955" s="4">
        <v>4350</v>
      </c>
      <c r="H955" s="4">
        <v>39150</v>
      </c>
      <c r="I955" s="4">
        <v>24102.06</v>
      </c>
      <c r="J955" s="4">
        <v>15047.94</v>
      </c>
      <c r="K955" t="s">
        <v>26</v>
      </c>
      <c r="L955" s="3">
        <f>(Table1[[#This Row],[Profit]]/Table1[[#This Row],[Sales_Amount]])*100</f>
        <v>38.436628352490423</v>
      </c>
      <c r="M955" s="4" t="str" cm="1">
        <f t="array" ref="M955">_xlfn.IFS(Table1[[#This Row],[Sales_Amount]]&gt;200000,"High",AND(Table1[[#This Row],[Sales_Amount]]&gt;100000,Table1[[#This Row],[Sales_Amount]]&lt;200000),"Medium",Table1[[#This Row],[Sales_Amount]]&lt;100000,"Low")</f>
        <v>Low</v>
      </c>
      <c r="N955" t="str">
        <f>TEXT(Table1[[#This Row],[Order_Date]],"MMMM")</f>
        <v>January</v>
      </c>
      <c r="O955">
        <f>YEAR(Table1[[#This Row],[Order_Date]])</f>
        <v>2028</v>
      </c>
    </row>
    <row r="956" spans="1:15" x14ac:dyDescent="0.3">
      <c r="A956" t="s">
        <v>987</v>
      </c>
      <c r="B956" s="1">
        <v>46775</v>
      </c>
      <c r="C956" t="s">
        <v>17</v>
      </c>
      <c r="D956" t="s">
        <v>18</v>
      </c>
      <c r="E956" t="s">
        <v>19</v>
      </c>
      <c r="F956" s="3">
        <v>10</v>
      </c>
      <c r="G956" s="4">
        <v>47002</v>
      </c>
      <c r="H956" s="4">
        <v>470020</v>
      </c>
      <c r="I956" s="4">
        <v>387518.59</v>
      </c>
      <c r="J956" s="4">
        <v>82501.41</v>
      </c>
      <c r="K956" t="s">
        <v>26</v>
      </c>
      <c r="L956" s="3">
        <f>(Table1[[#This Row],[Profit]]/Table1[[#This Row],[Sales_Amount]])*100</f>
        <v>17.552744564061104</v>
      </c>
      <c r="M956" s="4" t="str" cm="1">
        <f t="array" ref="M956">_xlfn.IFS(Table1[[#This Row],[Sales_Amount]]&gt;200000,"High",AND(Table1[[#This Row],[Sales_Amount]]&gt;100000,Table1[[#This Row],[Sales_Amount]]&lt;200000),"Medium",Table1[[#This Row],[Sales_Amount]]&lt;100000,"Low")</f>
        <v>High</v>
      </c>
      <c r="N956" t="str">
        <f>TEXT(Table1[[#This Row],[Order_Date]],"MMMM")</f>
        <v>January</v>
      </c>
      <c r="O956">
        <f>YEAR(Table1[[#This Row],[Order_Date]])</f>
        <v>2028</v>
      </c>
    </row>
    <row r="957" spans="1:15" x14ac:dyDescent="0.3">
      <c r="A957" t="s">
        <v>988</v>
      </c>
      <c r="B957" s="1">
        <v>46776</v>
      </c>
      <c r="C957" t="s">
        <v>40</v>
      </c>
      <c r="D957" t="s">
        <v>13</v>
      </c>
      <c r="E957" t="s">
        <v>25</v>
      </c>
      <c r="F957" s="3">
        <v>7</v>
      </c>
      <c r="G957" s="4">
        <v>20325</v>
      </c>
      <c r="H957" s="4">
        <v>142275</v>
      </c>
      <c r="I957" s="4">
        <v>127088.16</v>
      </c>
      <c r="J957" s="4">
        <v>15186.84</v>
      </c>
      <c r="K957" t="s">
        <v>15</v>
      </c>
      <c r="L957" s="3">
        <f>(Table1[[#This Row],[Profit]]/Table1[[#This Row],[Sales_Amount]])*100</f>
        <v>10.674285714285714</v>
      </c>
      <c r="M957" s="4" t="str" cm="1">
        <f t="array" ref="M957">_xlfn.IFS(Table1[[#This Row],[Sales_Amount]]&gt;200000,"High",AND(Table1[[#This Row],[Sales_Amount]]&gt;100000,Table1[[#This Row],[Sales_Amount]]&lt;200000),"Medium",Table1[[#This Row],[Sales_Amount]]&lt;100000,"Low")</f>
        <v>Medium</v>
      </c>
      <c r="N957" t="str">
        <f>TEXT(Table1[[#This Row],[Order_Date]],"MMMM")</f>
        <v>January</v>
      </c>
      <c r="O957">
        <f>YEAR(Table1[[#This Row],[Order_Date]])</f>
        <v>2028</v>
      </c>
    </row>
    <row r="958" spans="1:15" x14ac:dyDescent="0.3">
      <c r="A958" t="s">
        <v>989</v>
      </c>
      <c r="B958" s="1">
        <v>46777</v>
      </c>
      <c r="C958" t="s">
        <v>40</v>
      </c>
      <c r="D958" t="s">
        <v>56</v>
      </c>
      <c r="E958" t="s">
        <v>22</v>
      </c>
      <c r="F958" s="3">
        <v>5</v>
      </c>
      <c r="G958" s="4">
        <v>11632</v>
      </c>
      <c r="H958" s="4">
        <v>58160</v>
      </c>
      <c r="I958" s="4">
        <v>43685.37</v>
      </c>
      <c r="J958" s="4">
        <v>14474.63</v>
      </c>
      <c r="K958" t="s">
        <v>23</v>
      </c>
      <c r="L958" s="3">
        <f>(Table1[[#This Row],[Profit]]/Table1[[#This Row],[Sales_Amount]])*100</f>
        <v>24.887603163686382</v>
      </c>
      <c r="M958" s="4" t="str" cm="1">
        <f t="array" ref="M958">_xlfn.IFS(Table1[[#This Row],[Sales_Amount]]&gt;200000,"High",AND(Table1[[#This Row],[Sales_Amount]]&gt;100000,Table1[[#This Row],[Sales_Amount]]&lt;200000),"Medium",Table1[[#This Row],[Sales_Amount]]&lt;100000,"Low")</f>
        <v>Low</v>
      </c>
      <c r="N958" t="str">
        <f>TEXT(Table1[[#This Row],[Order_Date]],"MMMM")</f>
        <v>January</v>
      </c>
      <c r="O958">
        <f>YEAR(Table1[[#This Row],[Order_Date]])</f>
        <v>2028</v>
      </c>
    </row>
    <row r="959" spans="1:15" x14ac:dyDescent="0.3">
      <c r="A959" t="s">
        <v>990</v>
      </c>
      <c r="B959" s="1">
        <v>46778</v>
      </c>
      <c r="C959" t="s">
        <v>17</v>
      </c>
      <c r="D959" t="s">
        <v>34</v>
      </c>
      <c r="E959" t="s">
        <v>32</v>
      </c>
      <c r="F959" s="3">
        <v>9</v>
      </c>
      <c r="G959" s="4">
        <v>28872</v>
      </c>
      <c r="H959" s="4">
        <v>259848</v>
      </c>
      <c r="I959" s="4">
        <v>166962.4</v>
      </c>
      <c r="J959" s="4">
        <v>92885.6</v>
      </c>
      <c r="K959" t="s">
        <v>15</v>
      </c>
      <c r="L959" s="3">
        <f>(Table1[[#This Row],[Profit]]/Table1[[#This Row],[Sales_Amount]])*100</f>
        <v>35.746128505895754</v>
      </c>
      <c r="M959" s="4" t="str" cm="1">
        <f t="array" ref="M959">_xlfn.IFS(Table1[[#This Row],[Sales_Amount]]&gt;200000,"High",AND(Table1[[#This Row],[Sales_Amount]]&gt;100000,Table1[[#This Row],[Sales_Amount]]&lt;200000),"Medium",Table1[[#This Row],[Sales_Amount]]&lt;100000,"Low")</f>
        <v>High</v>
      </c>
      <c r="N959" t="str">
        <f>TEXT(Table1[[#This Row],[Order_Date]],"MMMM")</f>
        <v>January</v>
      </c>
      <c r="O959">
        <f>YEAR(Table1[[#This Row],[Order_Date]])</f>
        <v>2028</v>
      </c>
    </row>
    <row r="960" spans="1:15" x14ac:dyDescent="0.3">
      <c r="A960" t="s">
        <v>991</v>
      </c>
      <c r="B960" s="1">
        <v>46779</v>
      </c>
      <c r="C960" t="s">
        <v>28</v>
      </c>
      <c r="D960" t="s">
        <v>44</v>
      </c>
      <c r="E960" t="s">
        <v>37</v>
      </c>
      <c r="F960" s="3">
        <v>5</v>
      </c>
      <c r="G960" s="4">
        <v>49509</v>
      </c>
      <c r="H960" s="4">
        <v>247545</v>
      </c>
      <c r="I960" s="4">
        <v>175305.84</v>
      </c>
      <c r="J960" s="4">
        <v>72239.16</v>
      </c>
      <c r="K960" t="s">
        <v>26</v>
      </c>
      <c r="L960" s="3">
        <f>(Table1[[#This Row],[Profit]]/Table1[[#This Row],[Sales_Amount]])*100</f>
        <v>29.182233533296976</v>
      </c>
      <c r="M960" s="4" t="str" cm="1">
        <f t="array" ref="M960">_xlfn.IFS(Table1[[#This Row],[Sales_Amount]]&gt;200000,"High",AND(Table1[[#This Row],[Sales_Amount]]&gt;100000,Table1[[#This Row],[Sales_Amount]]&lt;200000),"Medium",Table1[[#This Row],[Sales_Amount]]&lt;100000,"Low")</f>
        <v>High</v>
      </c>
      <c r="N960" t="str">
        <f>TEXT(Table1[[#This Row],[Order_Date]],"MMMM")</f>
        <v>January</v>
      </c>
      <c r="O960">
        <f>YEAR(Table1[[#This Row],[Order_Date]])</f>
        <v>2028</v>
      </c>
    </row>
    <row r="961" spans="1:15" x14ac:dyDescent="0.3">
      <c r="A961" t="s">
        <v>992</v>
      </c>
      <c r="B961" s="1">
        <v>46780</v>
      </c>
      <c r="C961" t="s">
        <v>12</v>
      </c>
      <c r="D961" t="s">
        <v>34</v>
      </c>
      <c r="E961" t="s">
        <v>32</v>
      </c>
      <c r="F961" s="3">
        <v>9</v>
      </c>
      <c r="G961" s="4">
        <v>21013</v>
      </c>
      <c r="H961" s="4">
        <v>189117</v>
      </c>
      <c r="I961" s="4">
        <v>138193.96</v>
      </c>
      <c r="J961" s="4">
        <v>50923.040000000001</v>
      </c>
      <c r="K961" t="s">
        <v>58</v>
      </c>
      <c r="L961" s="3">
        <f>(Table1[[#This Row],[Profit]]/Table1[[#This Row],[Sales_Amount]])*100</f>
        <v>26.926738474066319</v>
      </c>
      <c r="M961" s="4" t="str" cm="1">
        <f t="array" ref="M961">_xlfn.IFS(Table1[[#This Row],[Sales_Amount]]&gt;200000,"High",AND(Table1[[#This Row],[Sales_Amount]]&gt;100000,Table1[[#This Row],[Sales_Amount]]&lt;200000),"Medium",Table1[[#This Row],[Sales_Amount]]&lt;100000,"Low")</f>
        <v>Medium</v>
      </c>
      <c r="N961" t="str">
        <f>TEXT(Table1[[#This Row],[Order_Date]],"MMMM")</f>
        <v>January</v>
      </c>
      <c r="O961">
        <f>YEAR(Table1[[#This Row],[Order_Date]])</f>
        <v>2028</v>
      </c>
    </row>
    <row r="962" spans="1:15" x14ac:dyDescent="0.3">
      <c r="A962" t="s">
        <v>993</v>
      </c>
      <c r="B962" s="1">
        <v>46781</v>
      </c>
      <c r="C962" t="s">
        <v>17</v>
      </c>
      <c r="D962" t="s">
        <v>51</v>
      </c>
      <c r="E962" t="s">
        <v>25</v>
      </c>
      <c r="F962" s="3">
        <v>8</v>
      </c>
      <c r="G962" s="4">
        <v>3987</v>
      </c>
      <c r="H962" s="4">
        <v>31896</v>
      </c>
      <c r="I962" s="4">
        <v>20945.34</v>
      </c>
      <c r="J962" s="4">
        <v>10950.66</v>
      </c>
      <c r="K962" t="s">
        <v>23</v>
      </c>
      <c r="L962" s="3">
        <f>(Table1[[#This Row],[Profit]]/Table1[[#This Row],[Sales_Amount]])*100</f>
        <v>34.332392776523704</v>
      </c>
      <c r="M962" s="4" t="str" cm="1">
        <f t="array" ref="M962">_xlfn.IFS(Table1[[#This Row],[Sales_Amount]]&gt;200000,"High",AND(Table1[[#This Row],[Sales_Amount]]&gt;100000,Table1[[#This Row],[Sales_Amount]]&lt;200000),"Medium",Table1[[#This Row],[Sales_Amount]]&lt;100000,"Low")</f>
        <v>Low</v>
      </c>
      <c r="N962" t="str">
        <f>TEXT(Table1[[#This Row],[Order_Date]],"MMMM")</f>
        <v>January</v>
      </c>
      <c r="O962">
        <f>YEAR(Table1[[#This Row],[Order_Date]])</f>
        <v>2028</v>
      </c>
    </row>
    <row r="963" spans="1:15" x14ac:dyDescent="0.3">
      <c r="A963" t="s">
        <v>994</v>
      </c>
      <c r="B963" s="1">
        <v>46782</v>
      </c>
      <c r="C963" t="s">
        <v>28</v>
      </c>
      <c r="D963" t="s">
        <v>29</v>
      </c>
      <c r="E963" t="s">
        <v>37</v>
      </c>
      <c r="F963" s="3">
        <v>5</v>
      </c>
      <c r="G963" s="4">
        <v>11218</v>
      </c>
      <c r="H963" s="4">
        <v>56090</v>
      </c>
      <c r="I963" s="4">
        <v>45533.24</v>
      </c>
      <c r="J963" s="4">
        <v>10556.76</v>
      </c>
      <c r="K963" t="s">
        <v>58</v>
      </c>
      <c r="L963" s="3">
        <f>(Table1[[#This Row],[Profit]]/Table1[[#This Row],[Sales_Amount]])*100</f>
        <v>18.821108932073454</v>
      </c>
      <c r="M963" s="4" t="str" cm="1">
        <f t="array" ref="M963">_xlfn.IFS(Table1[[#This Row],[Sales_Amount]]&gt;200000,"High",AND(Table1[[#This Row],[Sales_Amount]]&gt;100000,Table1[[#This Row],[Sales_Amount]]&lt;200000),"Medium",Table1[[#This Row],[Sales_Amount]]&lt;100000,"Low")</f>
        <v>Low</v>
      </c>
      <c r="N963" t="str">
        <f>TEXT(Table1[[#This Row],[Order_Date]],"MMMM")</f>
        <v>January</v>
      </c>
      <c r="O963">
        <f>YEAR(Table1[[#This Row],[Order_Date]])</f>
        <v>2028</v>
      </c>
    </row>
    <row r="964" spans="1:15" x14ac:dyDescent="0.3">
      <c r="A964" t="s">
        <v>995</v>
      </c>
      <c r="B964" s="1">
        <v>46783</v>
      </c>
      <c r="C964" t="s">
        <v>28</v>
      </c>
      <c r="D964" t="s">
        <v>56</v>
      </c>
      <c r="E964" t="s">
        <v>37</v>
      </c>
      <c r="F964" s="3">
        <v>6</v>
      </c>
      <c r="G964" s="4">
        <v>46966</v>
      </c>
      <c r="H964" s="4">
        <v>281796</v>
      </c>
      <c r="I964" s="4">
        <v>216491.57</v>
      </c>
      <c r="J964" s="4">
        <v>65304.43</v>
      </c>
      <c r="K964" t="s">
        <v>15</v>
      </c>
      <c r="L964" s="3">
        <f>(Table1[[#This Row],[Profit]]/Table1[[#This Row],[Sales_Amount]])*100</f>
        <v>23.174363724112478</v>
      </c>
      <c r="M964" s="4" t="str" cm="1">
        <f t="array" ref="M964">_xlfn.IFS(Table1[[#This Row],[Sales_Amount]]&gt;200000,"High",AND(Table1[[#This Row],[Sales_Amount]]&gt;100000,Table1[[#This Row],[Sales_Amount]]&lt;200000),"Medium",Table1[[#This Row],[Sales_Amount]]&lt;100000,"Low")</f>
        <v>High</v>
      </c>
      <c r="N964" t="str">
        <f>TEXT(Table1[[#This Row],[Order_Date]],"MMMM")</f>
        <v>January</v>
      </c>
      <c r="O964">
        <f>YEAR(Table1[[#This Row],[Order_Date]])</f>
        <v>2028</v>
      </c>
    </row>
    <row r="965" spans="1:15" x14ac:dyDescent="0.3">
      <c r="A965" t="s">
        <v>996</v>
      </c>
      <c r="B965" s="1">
        <v>46784</v>
      </c>
      <c r="C965" t="s">
        <v>40</v>
      </c>
      <c r="D965" t="s">
        <v>13</v>
      </c>
      <c r="E965" t="s">
        <v>14</v>
      </c>
      <c r="F965" s="3">
        <v>6</v>
      </c>
      <c r="G965" s="4">
        <v>6632</v>
      </c>
      <c r="H965" s="4">
        <v>39792</v>
      </c>
      <c r="I965" s="4">
        <v>26307.29</v>
      </c>
      <c r="J965" s="4">
        <v>13484.71</v>
      </c>
      <c r="K965" t="s">
        <v>23</v>
      </c>
      <c r="L965" s="3">
        <f>(Table1[[#This Row],[Profit]]/Table1[[#This Row],[Sales_Amount]])*100</f>
        <v>33.88799256131886</v>
      </c>
      <c r="M965" s="4" t="str" cm="1">
        <f t="array" ref="M965">_xlfn.IFS(Table1[[#This Row],[Sales_Amount]]&gt;200000,"High",AND(Table1[[#This Row],[Sales_Amount]]&gt;100000,Table1[[#This Row],[Sales_Amount]]&lt;200000),"Medium",Table1[[#This Row],[Sales_Amount]]&lt;100000,"Low")</f>
        <v>Low</v>
      </c>
      <c r="N965" t="str">
        <f>TEXT(Table1[[#This Row],[Order_Date]],"MMMM")</f>
        <v>February</v>
      </c>
      <c r="O965">
        <f>YEAR(Table1[[#This Row],[Order_Date]])</f>
        <v>2028</v>
      </c>
    </row>
    <row r="966" spans="1:15" x14ac:dyDescent="0.3">
      <c r="A966" t="s">
        <v>997</v>
      </c>
      <c r="B966" s="1">
        <v>46785</v>
      </c>
      <c r="C966" t="s">
        <v>17</v>
      </c>
      <c r="D966" t="s">
        <v>13</v>
      </c>
      <c r="E966" t="s">
        <v>32</v>
      </c>
      <c r="F966" s="3">
        <v>10</v>
      </c>
      <c r="G966" s="4">
        <v>43959</v>
      </c>
      <c r="H966" s="4">
        <v>439590</v>
      </c>
      <c r="I966" s="4">
        <v>340991.38</v>
      </c>
      <c r="J966" s="4">
        <v>98598.62</v>
      </c>
      <c r="K966" t="s">
        <v>58</v>
      </c>
      <c r="L966" s="3">
        <f>(Table1[[#This Row],[Profit]]/Table1[[#This Row],[Sales_Amount]])*100</f>
        <v>22.429677654177755</v>
      </c>
      <c r="M966" s="4" t="str" cm="1">
        <f t="array" ref="M966">_xlfn.IFS(Table1[[#This Row],[Sales_Amount]]&gt;200000,"High",AND(Table1[[#This Row],[Sales_Amount]]&gt;100000,Table1[[#This Row],[Sales_Amount]]&lt;200000),"Medium",Table1[[#This Row],[Sales_Amount]]&lt;100000,"Low")</f>
        <v>High</v>
      </c>
      <c r="N966" t="str">
        <f>TEXT(Table1[[#This Row],[Order_Date]],"MMMM")</f>
        <v>February</v>
      </c>
      <c r="O966">
        <f>YEAR(Table1[[#This Row],[Order_Date]])</f>
        <v>2028</v>
      </c>
    </row>
    <row r="967" spans="1:15" x14ac:dyDescent="0.3">
      <c r="A967" t="s">
        <v>998</v>
      </c>
      <c r="B967" s="1">
        <v>46786</v>
      </c>
      <c r="C967" t="s">
        <v>40</v>
      </c>
      <c r="D967" t="s">
        <v>18</v>
      </c>
      <c r="E967" t="s">
        <v>22</v>
      </c>
      <c r="F967" s="3">
        <v>8</v>
      </c>
      <c r="G967" s="4">
        <v>44861</v>
      </c>
      <c r="H967" s="4">
        <v>358888</v>
      </c>
      <c r="I967" s="4">
        <v>225486.3</v>
      </c>
      <c r="J967" s="4">
        <v>133401.70000000001</v>
      </c>
      <c r="K967" t="s">
        <v>26</v>
      </c>
      <c r="L967" s="3">
        <f>(Table1[[#This Row],[Profit]]/Table1[[#This Row],[Sales_Amount]])*100</f>
        <v>37.170844385992289</v>
      </c>
      <c r="M967" s="4" t="str" cm="1">
        <f t="array" ref="M967">_xlfn.IFS(Table1[[#This Row],[Sales_Amount]]&gt;200000,"High",AND(Table1[[#This Row],[Sales_Amount]]&gt;100000,Table1[[#This Row],[Sales_Amount]]&lt;200000),"Medium",Table1[[#This Row],[Sales_Amount]]&lt;100000,"Low")</f>
        <v>High</v>
      </c>
      <c r="N967" t="str">
        <f>TEXT(Table1[[#This Row],[Order_Date]],"MMMM")</f>
        <v>February</v>
      </c>
      <c r="O967">
        <f>YEAR(Table1[[#This Row],[Order_Date]])</f>
        <v>2028</v>
      </c>
    </row>
    <row r="968" spans="1:15" x14ac:dyDescent="0.3">
      <c r="A968" t="s">
        <v>999</v>
      </c>
      <c r="B968" s="1">
        <v>46787</v>
      </c>
      <c r="C968" t="s">
        <v>17</v>
      </c>
      <c r="D968" t="s">
        <v>34</v>
      </c>
      <c r="E968" t="s">
        <v>19</v>
      </c>
      <c r="F968" s="3">
        <v>2</v>
      </c>
      <c r="G968" s="4">
        <v>26332</v>
      </c>
      <c r="H968" s="4">
        <v>52664</v>
      </c>
      <c r="I968" s="4">
        <v>37500.32</v>
      </c>
      <c r="J968" s="4">
        <v>15163.68</v>
      </c>
      <c r="K968" t="s">
        <v>23</v>
      </c>
      <c r="L968" s="3">
        <f>(Table1[[#This Row],[Profit]]/Table1[[#This Row],[Sales_Amount]])*100</f>
        <v>28.793255354701504</v>
      </c>
      <c r="M968" s="4" t="str" cm="1">
        <f t="array" ref="M968">_xlfn.IFS(Table1[[#This Row],[Sales_Amount]]&gt;200000,"High",AND(Table1[[#This Row],[Sales_Amount]]&gt;100000,Table1[[#This Row],[Sales_Amount]]&lt;200000),"Medium",Table1[[#This Row],[Sales_Amount]]&lt;100000,"Low")</f>
        <v>Low</v>
      </c>
      <c r="N968" t="str">
        <f>TEXT(Table1[[#This Row],[Order_Date]],"MMMM")</f>
        <v>February</v>
      </c>
      <c r="O968">
        <f>YEAR(Table1[[#This Row],[Order_Date]])</f>
        <v>2028</v>
      </c>
    </row>
    <row r="969" spans="1:15" x14ac:dyDescent="0.3">
      <c r="A969" t="s">
        <v>1000</v>
      </c>
      <c r="B969" s="1">
        <v>46788</v>
      </c>
      <c r="C969" t="s">
        <v>28</v>
      </c>
      <c r="D969" t="s">
        <v>44</v>
      </c>
      <c r="E969" t="s">
        <v>14</v>
      </c>
      <c r="F969" s="3">
        <v>8</v>
      </c>
      <c r="G969" s="4">
        <v>46880</v>
      </c>
      <c r="H969" s="4">
        <v>375040</v>
      </c>
      <c r="I969" s="4">
        <v>299230.09000000003</v>
      </c>
      <c r="J969" s="4">
        <v>75809.91</v>
      </c>
      <c r="K969" t="s">
        <v>15</v>
      </c>
      <c r="L969" s="3">
        <f>(Table1[[#This Row],[Profit]]/Table1[[#This Row],[Sales_Amount]])*100</f>
        <v>20.213819859215018</v>
      </c>
      <c r="M969" s="4" t="str" cm="1">
        <f t="array" ref="M969">_xlfn.IFS(Table1[[#This Row],[Sales_Amount]]&gt;200000,"High",AND(Table1[[#This Row],[Sales_Amount]]&gt;100000,Table1[[#This Row],[Sales_Amount]]&lt;200000),"Medium",Table1[[#This Row],[Sales_Amount]]&lt;100000,"Low")</f>
        <v>High</v>
      </c>
      <c r="N969" t="str">
        <f>TEXT(Table1[[#This Row],[Order_Date]],"MMMM")</f>
        <v>February</v>
      </c>
      <c r="O969">
        <f>YEAR(Table1[[#This Row],[Order_Date]])</f>
        <v>2028</v>
      </c>
    </row>
    <row r="970" spans="1:15" x14ac:dyDescent="0.3">
      <c r="A970" t="s">
        <v>1001</v>
      </c>
      <c r="B970" s="1">
        <v>46789</v>
      </c>
      <c r="C970" t="s">
        <v>12</v>
      </c>
      <c r="D970" t="s">
        <v>51</v>
      </c>
      <c r="E970" t="s">
        <v>14</v>
      </c>
      <c r="F970" s="3">
        <v>10</v>
      </c>
      <c r="G970" s="4">
        <v>30194</v>
      </c>
      <c r="H970" s="4">
        <v>301940</v>
      </c>
      <c r="I970" s="4">
        <v>210595.49</v>
      </c>
      <c r="J970" s="4">
        <v>91344.51</v>
      </c>
      <c r="K970" t="s">
        <v>15</v>
      </c>
      <c r="L970" s="3">
        <f>(Table1[[#This Row],[Profit]]/Table1[[#This Row],[Sales_Amount]])*100</f>
        <v>30.252536927866462</v>
      </c>
      <c r="M970" s="4" t="str" cm="1">
        <f t="array" ref="M970">_xlfn.IFS(Table1[[#This Row],[Sales_Amount]]&gt;200000,"High",AND(Table1[[#This Row],[Sales_Amount]]&gt;100000,Table1[[#This Row],[Sales_Amount]]&lt;200000),"Medium",Table1[[#This Row],[Sales_Amount]]&lt;100000,"Low")</f>
        <v>High</v>
      </c>
      <c r="N970" t="str">
        <f>TEXT(Table1[[#This Row],[Order_Date]],"MMMM")</f>
        <v>February</v>
      </c>
      <c r="O970">
        <f>YEAR(Table1[[#This Row],[Order_Date]])</f>
        <v>2028</v>
      </c>
    </row>
    <row r="971" spans="1:15" x14ac:dyDescent="0.3">
      <c r="A971" t="s">
        <v>1002</v>
      </c>
      <c r="B971" s="1">
        <v>46790</v>
      </c>
      <c r="C971" t="s">
        <v>28</v>
      </c>
      <c r="D971" t="s">
        <v>29</v>
      </c>
      <c r="E971" t="s">
        <v>32</v>
      </c>
      <c r="F971" s="3">
        <v>6</v>
      </c>
      <c r="G971" s="4">
        <v>4139</v>
      </c>
      <c r="H971" s="4">
        <v>24834</v>
      </c>
      <c r="I971" s="4">
        <v>20441.86</v>
      </c>
      <c r="J971" s="4">
        <v>4392.1400000000003</v>
      </c>
      <c r="K971" t="s">
        <v>58</v>
      </c>
      <c r="L971" s="3">
        <f>(Table1[[#This Row],[Profit]]/Table1[[#This Row],[Sales_Amount]])*100</f>
        <v>17.685995006845456</v>
      </c>
      <c r="M971" s="4" t="str" cm="1">
        <f t="array" ref="M971">_xlfn.IFS(Table1[[#This Row],[Sales_Amount]]&gt;200000,"High",AND(Table1[[#This Row],[Sales_Amount]]&gt;100000,Table1[[#This Row],[Sales_Amount]]&lt;200000),"Medium",Table1[[#This Row],[Sales_Amount]]&lt;100000,"Low")</f>
        <v>Low</v>
      </c>
      <c r="N971" t="str">
        <f>TEXT(Table1[[#This Row],[Order_Date]],"MMMM")</f>
        <v>February</v>
      </c>
      <c r="O971">
        <f>YEAR(Table1[[#This Row],[Order_Date]])</f>
        <v>2028</v>
      </c>
    </row>
    <row r="972" spans="1:15" x14ac:dyDescent="0.3">
      <c r="A972" t="s">
        <v>1003</v>
      </c>
      <c r="B972" s="1">
        <v>46791</v>
      </c>
      <c r="C972" t="s">
        <v>12</v>
      </c>
      <c r="D972" t="s">
        <v>13</v>
      </c>
      <c r="E972" t="s">
        <v>22</v>
      </c>
      <c r="F972" s="3">
        <v>4</v>
      </c>
      <c r="G972" s="4">
        <v>26643</v>
      </c>
      <c r="H972" s="4">
        <v>106572</v>
      </c>
      <c r="I972" s="4">
        <v>66794.69</v>
      </c>
      <c r="J972" s="4">
        <v>39777.31</v>
      </c>
      <c r="K972" t="s">
        <v>58</v>
      </c>
      <c r="L972" s="3">
        <f>(Table1[[#This Row],[Profit]]/Table1[[#This Row],[Sales_Amount]])*100</f>
        <v>37.324353488721243</v>
      </c>
      <c r="M972" s="4" t="str" cm="1">
        <f t="array" ref="M972">_xlfn.IFS(Table1[[#This Row],[Sales_Amount]]&gt;200000,"High",AND(Table1[[#This Row],[Sales_Amount]]&gt;100000,Table1[[#This Row],[Sales_Amount]]&lt;200000),"Medium",Table1[[#This Row],[Sales_Amount]]&lt;100000,"Low")</f>
        <v>Medium</v>
      </c>
      <c r="N972" t="str">
        <f>TEXT(Table1[[#This Row],[Order_Date]],"MMMM")</f>
        <v>February</v>
      </c>
      <c r="O972">
        <f>YEAR(Table1[[#This Row],[Order_Date]])</f>
        <v>2028</v>
      </c>
    </row>
    <row r="973" spans="1:15" x14ac:dyDescent="0.3">
      <c r="A973" t="s">
        <v>1004</v>
      </c>
      <c r="B973" s="1">
        <v>46792</v>
      </c>
      <c r="C973" t="s">
        <v>28</v>
      </c>
      <c r="D973" t="s">
        <v>44</v>
      </c>
      <c r="E973" t="s">
        <v>32</v>
      </c>
      <c r="F973" s="3">
        <v>3</v>
      </c>
      <c r="G973" s="4">
        <v>8403</v>
      </c>
      <c r="H973" s="4">
        <v>25209</v>
      </c>
      <c r="I973" s="4">
        <v>17383.22</v>
      </c>
      <c r="J973" s="4">
        <v>7825.78</v>
      </c>
      <c r="K973" t="s">
        <v>23</v>
      </c>
      <c r="L973" s="3">
        <f>(Table1[[#This Row],[Profit]]/Table1[[#This Row],[Sales_Amount]])*100</f>
        <v>31.043595541274943</v>
      </c>
      <c r="M973" s="4" t="str" cm="1">
        <f t="array" ref="M973">_xlfn.IFS(Table1[[#This Row],[Sales_Amount]]&gt;200000,"High",AND(Table1[[#This Row],[Sales_Amount]]&gt;100000,Table1[[#This Row],[Sales_Amount]]&lt;200000),"Medium",Table1[[#This Row],[Sales_Amount]]&lt;100000,"Low")</f>
        <v>Low</v>
      </c>
      <c r="N973" t="str">
        <f>TEXT(Table1[[#This Row],[Order_Date]],"MMMM")</f>
        <v>February</v>
      </c>
      <c r="O973">
        <f>YEAR(Table1[[#This Row],[Order_Date]])</f>
        <v>2028</v>
      </c>
    </row>
    <row r="974" spans="1:15" x14ac:dyDescent="0.3">
      <c r="A974" t="s">
        <v>1005</v>
      </c>
      <c r="B974" s="1">
        <v>46793</v>
      </c>
      <c r="C974" t="s">
        <v>28</v>
      </c>
      <c r="D974" t="s">
        <v>56</v>
      </c>
      <c r="E974" t="s">
        <v>19</v>
      </c>
      <c r="F974" s="3">
        <v>2</v>
      </c>
      <c r="G974" s="4">
        <v>24581</v>
      </c>
      <c r="H974" s="4">
        <v>49162</v>
      </c>
      <c r="I974" s="4">
        <v>37058.120000000003</v>
      </c>
      <c r="J974" s="4">
        <v>12103.88</v>
      </c>
      <c r="K974" t="s">
        <v>58</v>
      </c>
      <c r="L974" s="3">
        <f>(Table1[[#This Row],[Profit]]/Table1[[#This Row],[Sales_Amount]])*100</f>
        <v>24.620397868272242</v>
      </c>
      <c r="M974" s="4" t="str" cm="1">
        <f t="array" ref="M974">_xlfn.IFS(Table1[[#This Row],[Sales_Amount]]&gt;200000,"High",AND(Table1[[#This Row],[Sales_Amount]]&gt;100000,Table1[[#This Row],[Sales_Amount]]&lt;200000),"Medium",Table1[[#This Row],[Sales_Amount]]&lt;100000,"Low")</f>
        <v>Low</v>
      </c>
      <c r="N974" t="str">
        <f>TEXT(Table1[[#This Row],[Order_Date]],"MMMM")</f>
        <v>February</v>
      </c>
      <c r="O974">
        <f>YEAR(Table1[[#This Row],[Order_Date]])</f>
        <v>2028</v>
      </c>
    </row>
    <row r="975" spans="1:15" x14ac:dyDescent="0.3">
      <c r="A975" t="s">
        <v>1006</v>
      </c>
      <c r="B975" s="1">
        <v>46794</v>
      </c>
      <c r="C975" t="s">
        <v>28</v>
      </c>
      <c r="D975" t="s">
        <v>34</v>
      </c>
      <c r="E975" t="s">
        <v>32</v>
      </c>
      <c r="F975" s="3">
        <v>10</v>
      </c>
      <c r="G975" s="4">
        <v>39843</v>
      </c>
      <c r="H975" s="4">
        <v>398430</v>
      </c>
      <c r="I975" s="4">
        <v>289627.2</v>
      </c>
      <c r="J975" s="4">
        <v>108802.8</v>
      </c>
      <c r="K975" t="s">
        <v>23</v>
      </c>
      <c r="L975" s="3">
        <f>(Table1[[#This Row],[Profit]]/Table1[[#This Row],[Sales_Amount]])*100</f>
        <v>27.307883442511859</v>
      </c>
      <c r="M975" s="4" t="str" cm="1">
        <f t="array" ref="M975">_xlfn.IFS(Table1[[#This Row],[Sales_Amount]]&gt;200000,"High",AND(Table1[[#This Row],[Sales_Amount]]&gt;100000,Table1[[#This Row],[Sales_Amount]]&lt;200000),"Medium",Table1[[#This Row],[Sales_Amount]]&lt;100000,"Low")</f>
        <v>High</v>
      </c>
      <c r="N975" t="str">
        <f>TEXT(Table1[[#This Row],[Order_Date]],"MMMM")</f>
        <v>February</v>
      </c>
      <c r="O975">
        <f>YEAR(Table1[[#This Row],[Order_Date]])</f>
        <v>2028</v>
      </c>
    </row>
    <row r="976" spans="1:15" x14ac:dyDescent="0.3">
      <c r="A976" t="s">
        <v>1007</v>
      </c>
      <c r="B976" s="1">
        <v>46795</v>
      </c>
      <c r="C976" t="s">
        <v>40</v>
      </c>
      <c r="D976" t="s">
        <v>56</v>
      </c>
      <c r="E976" t="s">
        <v>19</v>
      </c>
      <c r="F976" s="3">
        <v>7</v>
      </c>
      <c r="G976" s="4">
        <v>6591</v>
      </c>
      <c r="H976" s="4">
        <v>46137</v>
      </c>
      <c r="I976" s="4">
        <v>28241.91</v>
      </c>
      <c r="J976" s="4">
        <v>17895.09</v>
      </c>
      <c r="K976" t="s">
        <v>23</v>
      </c>
      <c r="L976" s="3">
        <f>(Table1[[#This Row],[Profit]]/Table1[[#This Row],[Sales_Amount]])*100</f>
        <v>38.786852201053385</v>
      </c>
      <c r="M976" s="4" t="str" cm="1">
        <f t="array" ref="M976">_xlfn.IFS(Table1[[#This Row],[Sales_Amount]]&gt;200000,"High",AND(Table1[[#This Row],[Sales_Amount]]&gt;100000,Table1[[#This Row],[Sales_Amount]]&lt;200000),"Medium",Table1[[#This Row],[Sales_Amount]]&lt;100000,"Low")</f>
        <v>Low</v>
      </c>
      <c r="N976" t="str">
        <f>TEXT(Table1[[#This Row],[Order_Date]],"MMMM")</f>
        <v>February</v>
      </c>
      <c r="O976">
        <f>YEAR(Table1[[#This Row],[Order_Date]])</f>
        <v>2028</v>
      </c>
    </row>
    <row r="977" spans="1:15" x14ac:dyDescent="0.3">
      <c r="A977" t="s">
        <v>1008</v>
      </c>
      <c r="B977" s="1">
        <v>46796</v>
      </c>
      <c r="C977" t="s">
        <v>17</v>
      </c>
      <c r="D977" t="s">
        <v>44</v>
      </c>
      <c r="E977" t="s">
        <v>19</v>
      </c>
      <c r="F977" s="3">
        <v>3</v>
      </c>
      <c r="G977" s="4">
        <v>32961</v>
      </c>
      <c r="H977" s="4">
        <v>98883</v>
      </c>
      <c r="I977" s="4">
        <v>74971.47</v>
      </c>
      <c r="J977" s="4">
        <v>23911.53</v>
      </c>
      <c r="K977" t="s">
        <v>58</v>
      </c>
      <c r="L977" s="3">
        <f>(Table1[[#This Row],[Profit]]/Table1[[#This Row],[Sales_Amount]])*100</f>
        <v>24.181638906586571</v>
      </c>
      <c r="M977" s="4" t="str" cm="1">
        <f t="array" ref="M977">_xlfn.IFS(Table1[[#This Row],[Sales_Amount]]&gt;200000,"High",AND(Table1[[#This Row],[Sales_Amount]]&gt;100000,Table1[[#This Row],[Sales_Amount]]&lt;200000),"Medium",Table1[[#This Row],[Sales_Amount]]&lt;100000,"Low")</f>
        <v>Low</v>
      </c>
      <c r="N977" t="str">
        <f>TEXT(Table1[[#This Row],[Order_Date]],"MMMM")</f>
        <v>February</v>
      </c>
      <c r="O977">
        <f>YEAR(Table1[[#This Row],[Order_Date]])</f>
        <v>2028</v>
      </c>
    </row>
    <row r="978" spans="1:15" x14ac:dyDescent="0.3">
      <c r="A978" t="s">
        <v>1009</v>
      </c>
      <c r="B978" s="1">
        <v>46797</v>
      </c>
      <c r="C978" t="s">
        <v>12</v>
      </c>
      <c r="D978" t="s">
        <v>44</v>
      </c>
      <c r="E978" t="s">
        <v>14</v>
      </c>
      <c r="F978" s="3">
        <v>8</v>
      </c>
      <c r="G978" s="4">
        <v>20186</v>
      </c>
      <c r="H978" s="4">
        <v>161488</v>
      </c>
      <c r="I978" s="4">
        <v>104092.25</v>
      </c>
      <c r="J978" s="4">
        <v>57395.75</v>
      </c>
      <c r="K978" t="s">
        <v>23</v>
      </c>
      <c r="L978" s="3">
        <f>(Table1[[#This Row],[Profit]]/Table1[[#This Row],[Sales_Amount]])*100</f>
        <v>35.54180496383632</v>
      </c>
      <c r="M978" s="4" t="str" cm="1">
        <f t="array" ref="M978">_xlfn.IFS(Table1[[#This Row],[Sales_Amount]]&gt;200000,"High",AND(Table1[[#This Row],[Sales_Amount]]&gt;100000,Table1[[#This Row],[Sales_Amount]]&lt;200000),"Medium",Table1[[#This Row],[Sales_Amount]]&lt;100000,"Low")</f>
        <v>Medium</v>
      </c>
      <c r="N978" t="str">
        <f>TEXT(Table1[[#This Row],[Order_Date]],"MMMM")</f>
        <v>February</v>
      </c>
      <c r="O978">
        <f>YEAR(Table1[[#This Row],[Order_Date]])</f>
        <v>2028</v>
      </c>
    </row>
    <row r="979" spans="1:15" x14ac:dyDescent="0.3">
      <c r="A979" t="s">
        <v>1010</v>
      </c>
      <c r="B979" s="1">
        <v>46798</v>
      </c>
      <c r="C979" t="s">
        <v>17</v>
      </c>
      <c r="D979" t="s">
        <v>18</v>
      </c>
      <c r="E979" t="s">
        <v>37</v>
      </c>
      <c r="F979" s="3">
        <v>5</v>
      </c>
      <c r="G979" s="4">
        <v>37759</v>
      </c>
      <c r="H979" s="4">
        <v>188795</v>
      </c>
      <c r="I979" s="4">
        <v>115980.26</v>
      </c>
      <c r="J979" s="4">
        <v>72814.740000000005</v>
      </c>
      <c r="K979" t="s">
        <v>15</v>
      </c>
      <c r="L979" s="3">
        <f>(Table1[[#This Row],[Profit]]/Table1[[#This Row],[Sales_Amount]])*100</f>
        <v>38.568150639582619</v>
      </c>
      <c r="M979" s="4" t="str" cm="1">
        <f t="array" ref="M979">_xlfn.IFS(Table1[[#This Row],[Sales_Amount]]&gt;200000,"High",AND(Table1[[#This Row],[Sales_Amount]]&gt;100000,Table1[[#This Row],[Sales_Amount]]&lt;200000),"Medium",Table1[[#This Row],[Sales_Amount]]&lt;100000,"Low")</f>
        <v>Medium</v>
      </c>
      <c r="N979" t="str">
        <f>TEXT(Table1[[#This Row],[Order_Date]],"MMMM")</f>
        <v>February</v>
      </c>
      <c r="O979">
        <f>YEAR(Table1[[#This Row],[Order_Date]])</f>
        <v>2028</v>
      </c>
    </row>
    <row r="980" spans="1:15" x14ac:dyDescent="0.3">
      <c r="A980" t="s">
        <v>1011</v>
      </c>
      <c r="B980" s="1">
        <v>46799</v>
      </c>
      <c r="C980" t="s">
        <v>40</v>
      </c>
      <c r="D980" t="s">
        <v>34</v>
      </c>
      <c r="E980" t="s">
        <v>37</v>
      </c>
      <c r="F980" s="3">
        <v>7</v>
      </c>
      <c r="G980" s="4">
        <v>6692</v>
      </c>
      <c r="H980" s="4">
        <v>46844</v>
      </c>
      <c r="I980" s="4">
        <v>34636.31</v>
      </c>
      <c r="J980" s="4">
        <v>12207.69</v>
      </c>
      <c r="K980" t="s">
        <v>26</v>
      </c>
      <c r="L980" s="3">
        <f>(Table1[[#This Row],[Profit]]/Table1[[#This Row],[Sales_Amount]])*100</f>
        <v>26.060306549398003</v>
      </c>
      <c r="M980" s="4" t="str" cm="1">
        <f t="array" ref="M980">_xlfn.IFS(Table1[[#This Row],[Sales_Amount]]&gt;200000,"High",AND(Table1[[#This Row],[Sales_Amount]]&gt;100000,Table1[[#This Row],[Sales_Amount]]&lt;200000),"Medium",Table1[[#This Row],[Sales_Amount]]&lt;100000,"Low")</f>
        <v>Low</v>
      </c>
      <c r="N980" t="str">
        <f>TEXT(Table1[[#This Row],[Order_Date]],"MMMM")</f>
        <v>February</v>
      </c>
      <c r="O980">
        <f>YEAR(Table1[[#This Row],[Order_Date]])</f>
        <v>2028</v>
      </c>
    </row>
    <row r="981" spans="1:15" x14ac:dyDescent="0.3">
      <c r="A981" t="s">
        <v>1012</v>
      </c>
      <c r="B981" s="1">
        <v>46800</v>
      </c>
      <c r="C981" t="s">
        <v>28</v>
      </c>
      <c r="D981" t="s">
        <v>13</v>
      </c>
      <c r="E981" t="s">
        <v>14</v>
      </c>
      <c r="F981" s="3">
        <v>9</v>
      </c>
      <c r="G981" s="4">
        <v>1566</v>
      </c>
      <c r="H981" s="4">
        <v>14094</v>
      </c>
      <c r="I981" s="4">
        <v>8938.14</v>
      </c>
      <c r="J981" s="4">
        <v>5155.8599999999997</v>
      </c>
      <c r="K981" t="s">
        <v>23</v>
      </c>
      <c r="L981" s="3">
        <f>(Table1[[#This Row],[Profit]]/Table1[[#This Row],[Sales_Amount]])*100</f>
        <v>36.581949765857807</v>
      </c>
      <c r="M981" s="4" t="str" cm="1">
        <f t="array" ref="M981">_xlfn.IFS(Table1[[#This Row],[Sales_Amount]]&gt;200000,"High",AND(Table1[[#This Row],[Sales_Amount]]&gt;100000,Table1[[#This Row],[Sales_Amount]]&lt;200000),"Medium",Table1[[#This Row],[Sales_Amount]]&lt;100000,"Low")</f>
        <v>Low</v>
      </c>
      <c r="N981" t="str">
        <f>TEXT(Table1[[#This Row],[Order_Date]],"MMMM")</f>
        <v>February</v>
      </c>
      <c r="O981">
        <f>YEAR(Table1[[#This Row],[Order_Date]])</f>
        <v>2028</v>
      </c>
    </row>
    <row r="982" spans="1:15" x14ac:dyDescent="0.3">
      <c r="A982" t="s">
        <v>1013</v>
      </c>
      <c r="B982" s="1">
        <v>46801</v>
      </c>
      <c r="C982" t="s">
        <v>40</v>
      </c>
      <c r="D982" t="s">
        <v>34</v>
      </c>
      <c r="E982" t="s">
        <v>14</v>
      </c>
      <c r="F982" s="3">
        <v>2</v>
      </c>
      <c r="G982" s="4">
        <v>27779</v>
      </c>
      <c r="H982" s="4">
        <v>55558</v>
      </c>
      <c r="I982" s="4">
        <v>47948.03</v>
      </c>
      <c r="J982" s="4">
        <v>7609.97</v>
      </c>
      <c r="K982" t="s">
        <v>58</v>
      </c>
      <c r="L982" s="3">
        <f>(Table1[[#This Row],[Profit]]/Table1[[#This Row],[Sales_Amount]])*100</f>
        <v>13.697343316894056</v>
      </c>
      <c r="M982" s="4" t="str" cm="1">
        <f t="array" ref="M982">_xlfn.IFS(Table1[[#This Row],[Sales_Amount]]&gt;200000,"High",AND(Table1[[#This Row],[Sales_Amount]]&gt;100000,Table1[[#This Row],[Sales_Amount]]&lt;200000),"Medium",Table1[[#This Row],[Sales_Amount]]&lt;100000,"Low")</f>
        <v>Low</v>
      </c>
      <c r="N982" t="str">
        <f>TEXT(Table1[[#This Row],[Order_Date]],"MMMM")</f>
        <v>February</v>
      </c>
      <c r="O982">
        <f>YEAR(Table1[[#This Row],[Order_Date]])</f>
        <v>2028</v>
      </c>
    </row>
    <row r="983" spans="1:15" x14ac:dyDescent="0.3">
      <c r="A983" t="s">
        <v>1014</v>
      </c>
      <c r="B983" s="1">
        <v>46802</v>
      </c>
      <c r="C983" t="s">
        <v>12</v>
      </c>
      <c r="D983" t="s">
        <v>51</v>
      </c>
      <c r="E983" t="s">
        <v>37</v>
      </c>
      <c r="F983" s="3">
        <v>10</v>
      </c>
      <c r="G983" s="4">
        <v>17871</v>
      </c>
      <c r="H983" s="4">
        <v>178710</v>
      </c>
      <c r="I983" s="4">
        <v>125525.96</v>
      </c>
      <c r="J983" s="4">
        <v>53184.04</v>
      </c>
      <c r="K983" t="s">
        <v>23</v>
      </c>
      <c r="L983" s="3">
        <f>(Table1[[#This Row],[Profit]]/Table1[[#This Row],[Sales_Amount]])*100</f>
        <v>29.759968664316489</v>
      </c>
      <c r="M983" s="4" t="str" cm="1">
        <f t="array" ref="M983">_xlfn.IFS(Table1[[#This Row],[Sales_Amount]]&gt;200000,"High",AND(Table1[[#This Row],[Sales_Amount]]&gt;100000,Table1[[#This Row],[Sales_Amount]]&lt;200000),"Medium",Table1[[#This Row],[Sales_Amount]]&lt;100000,"Low")</f>
        <v>Medium</v>
      </c>
      <c r="N983" t="str">
        <f>TEXT(Table1[[#This Row],[Order_Date]],"MMMM")</f>
        <v>February</v>
      </c>
      <c r="O983">
        <f>YEAR(Table1[[#This Row],[Order_Date]])</f>
        <v>2028</v>
      </c>
    </row>
    <row r="984" spans="1:15" x14ac:dyDescent="0.3">
      <c r="A984" t="s">
        <v>1015</v>
      </c>
      <c r="B984" s="1">
        <v>46803</v>
      </c>
      <c r="C984" t="s">
        <v>17</v>
      </c>
      <c r="D984" t="s">
        <v>21</v>
      </c>
      <c r="E984" t="s">
        <v>19</v>
      </c>
      <c r="F984" s="3">
        <v>10</v>
      </c>
      <c r="G984" s="4">
        <v>17494</v>
      </c>
      <c r="H984" s="4">
        <v>174940</v>
      </c>
      <c r="I984" s="4">
        <v>150708.14000000001</v>
      </c>
      <c r="J984" s="4">
        <v>24231.86</v>
      </c>
      <c r="K984" t="s">
        <v>15</v>
      </c>
      <c r="L984" s="3">
        <f>(Table1[[#This Row],[Profit]]/Table1[[#This Row],[Sales_Amount]])*100</f>
        <v>13.851526237567166</v>
      </c>
      <c r="M984" s="4" t="str" cm="1">
        <f t="array" ref="M984">_xlfn.IFS(Table1[[#This Row],[Sales_Amount]]&gt;200000,"High",AND(Table1[[#This Row],[Sales_Amount]]&gt;100000,Table1[[#This Row],[Sales_Amount]]&lt;200000),"Medium",Table1[[#This Row],[Sales_Amount]]&lt;100000,"Low")</f>
        <v>Medium</v>
      </c>
      <c r="N984" t="str">
        <f>TEXT(Table1[[#This Row],[Order_Date]],"MMMM")</f>
        <v>February</v>
      </c>
      <c r="O984">
        <f>YEAR(Table1[[#This Row],[Order_Date]])</f>
        <v>2028</v>
      </c>
    </row>
    <row r="985" spans="1:15" x14ac:dyDescent="0.3">
      <c r="A985" t="s">
        <v>1016</v>
      </c>
      <c r="B985" s="1">
        <v>46804</v>
      </c>
      <c r="C985" t="s">
        <v>28</v>
      </c>
      <c r="D985" t="s">
        <v>56</v>
      </c>
      <c r="E985" t="s">
        <v>37</v>
      </c>
      <c r="F985" s="3">
        <v>2</v>
      </c>
      <c r="G985" s="4">
        <v>1371</v>
      </c>
      <c r="H985" s="4">
        <v>2742</v>
      </c>
      <c r="I985" s="4">
        <v>1786.47</v>
      </c>
      <c r="J985" s="4">
        <v>955.53</v>
      </c>
      <c r="K985" t="s">
        <v>58</v>
      </c>
      <c r="L985" s="3">
        <f>(Table1[[#This Row],[Profit]]/Table1[[#This Row],[Sales_Amount]])*100</f>
        <v>34.847921225382933</v>
      </c>
      <c r="M985" s="4" t="str" cm="1">
        <f t="array" ref="M985">_xlfn.IFS(Table1[[#This Row],[Sales_Amount]]&gt;200000,"High",AND(Table1[[#This Row],[Sales_Amount]]&gt;100000,Table1[[#This Row],[Sales_Amount]]&lt;200000),"Medium",Table1[[#This Row],[Sales_Amount]]&lt;100000,"Low")</f>
        <v>Low</v>
      </c>
      <c r="N985" t="str">
        <f>TEXT(Table1[[#This Row],[Order_Date]],"MMMM")</f>
        <v>February</v>
      </c>
      <c r="O985">
        <f>YEAR(Table1[[#This Row],[Order_Date]])</f>
        <v>2028</v>
      </c>
    </row>
    <row r="986" spans="1:15" x14ac:dyDescent="0.3">
      <c r="A986" t="s">
        <v>1017</v>
      </c>
      <c r="B986" s="1">
        <v>46805</v>
      </c>
      <c r="C986" t="s">
        <v>40</v>
      </c>
      <c r="D986" t="s">
        <v>21</v>
      </c>
      <c r="E986" t="s">
        <v>19</v>
      </c>
      <c r="F986" s="3">
        <v>10</v>
      </c>
      <c r="G986" s="4">
        <v>48073</v>
      </c>
      <c r="H986" s="4">
        <v>480730</v>
      </c>
      <c r="I986" s="4">
        <v>358632.63</v>
      </c>
      <c r="J986" s="4">
        <v>122097.37</v>
      </c>
      <c r="K986" t="s">
        <v>26</v>
      </c>
      <c r="L986" s="3">
        <f>(Table1[[#This Row],[Profit]]/Table1[[#This Row],[Sales_Amount]])*100</f>
        <v>25.398325463357807</v>
      </c>
      <c r="M986" s="4" t="str" cm="1">
        <f t="array" ref="M986">_xlfn.IFS(Table1[[#This Row],[Sales_Amount]]&gt;200000,"High",AND(Table1[[#This Row],[Sales_Amount]]&gt;100000,Table1[[#This Row],[Sales_Amount]]&lt;200000),"Medium",Table1[[#This Row],[Sales_Amount]]&lt;100000,"Low")</f>
        <v>High</v>
      </c>
      <c r="N986" t="str">
        <f>TEXT(Table1[[#This Row],[Order_Date]],"MMMM")</f>
        <v>February</v>
      </c>
      <c r="O986">
        <f>YEAR(Table1[[#This Row],[Order_Date]])</f>
        <v>2028</v>
      </c>
    </row>
    <row r="987" spans="1:15" x14ac:dyDescent="0.3">
      <c r="A987" t="s">
        <v>1018</v>
      </c>
      <c r="B987" s="1">
        <v>46806</v>
      </c>
      <c r="C987" t="s">
        <v>17</v>
      </c>
      <c r="D987" t="s">
        <v>51</v>
      </c>
      <c r="E987" t="s">
        <v>22</v>
      </c>
      <c r="F987" s="3">
        <v>3</v>
      </c>
      <c r="G987" s="4">
        <v>1409</v>
      </c>
      <c r="H987" s="4">
        <v>4227</v>
      </c>
      <c r="I987" s="4">
        <v>2778.16</v>
      </c>
      <c r="J987" s="4">
        <v>1448.84</v>
      </c>
      <c r="K987" t="s">
        <v>15</v>
      </c>
      <c r="L987" s="3">
        <f>(Table1[[#This Row],[Profit]]/Table1[[#This Row],[Sales_Amount]])*100</f>
        <v>34.27584575348947</v>
      </c>
      <c r="M987" s="4" t="str" cm="1">
        <f t="array" ref="M987">_xlfn.IFS(Table1[[#This Row],[Sales_Amount]]&gt;200000,"High",AND(Table1[[#This Row],[Sales_Amount]]&gt;100000,Table1[[#This Row],[Sales_Amount]]&lt;200000),"Medium",Table1[[#This Row],[Sales_Amount]]&lt;100000,"Low")</f>
        <v>Low</v>
      </c>
      <c r="N987" t="str">
        <f>TEXT(Table1[[#This Row],[Order_Date]],"MMMM")</f>
        <v>February</v>
      </c>
      <c r="O987">
        <f>YEAR(Table1[[#This Row],[Order_Date]])</f>
        <v>2028</v>
      </c>
    </row>
    <row r="988" spans="1:15" x14ac:dyDescent="0.3">
      <c r="A988" t="s">
        <v>1019</v>
      </c>
      <c r="B988" s="1">
        <v>46807</v>
      </c>
      <c r="C988" t="s">
        <v>12</v>
      </c>
      <c r="D988" t="s">
        <v>29</v>
      </c>
      <c r="E988" t="s">
        <v>37</v>
      </c>
      <c r="F988" s="3">
        <v>3</v>
      </c>
      <c r="G988" s="4">
        <v>43081</v>
      </c>
      <c r="H988" s="4">
        <v>129243</v>
      </c>
      <c r="I988" s="4">
        <v>86920.320000000007</v>
      </c>
      <c r="J988" s="4">
        <v>42322.68</v>
      </c>
      <c r="K988" t="s">
        <v>26</v>
      </c>
      <c r="L988" s="3">
        <f>(Table1[[#This Row],[Profit]]/Table1[[#This Row],[Sales_Amount]])*100</f>
        <v>32.746593625960401</v>
      </c>
      <c r="M988" s="4" t="str" cm="1">
        <f t="array" ref="M988">_xlfn.IFS(Table1[[#This Row],[Sales_Amount]]&gt;200000,"High",AND(Table1[[#This Row],[Sales_Amount]]&gt;100000,Table1[[#This Row],[Sales_Amount]]&lt;200000),"Medium",Table1[[#This Row],[Sales_Amount]]&lt;100000,"Low")</f>
        <v>Medium</v>
      </c>
      <c r="N988" t="str">
        <f>TEXT(Table1[[#This Row],[Order_Date]],"MMMM")</f>
        <v>February</v>
      </c>
      <c r="O988">
        <f>YEAR(Table1[[#This Row],[Order_Date]])</f>
        <v>2028</v>
      </c>
    </row>
    <row r="989" spans="1:15" x14ac:dyDescent="0.3">
      <c r="A989" t="s">
        <v>1020</v>
      </c>
      <c r="B989" s="1">
        <v>46808</v>
      </c>
      <c r="C989" t="s">
        <v>12</v>
      </c>
      <c r="D989" t="s">
        <v>13</v>
      </c>
      <c r="E989" t="s">
        <v>22</v>
      </c>
      <c r="F989" s="3">
        <v>8</v>
      </c>
      <c r="G989" s="4">
        <v>28148</v>
      </c>
      <c r="H989" s="4">
        <v>225184</v>
      </c>
      <c r="I989" s="4">
        <v>136584.24</v>
      </c>
      <c r="J989" s="4">
        <v>88599.76</v>
      </c>
      <c r="K989" t="s">
        <v>58</v>
      </c>
      <c r="L989" s="3">
        <f>(Table1[[#This Row],[Profit]]/Table1[[#This Row],[Sales_Amount]])*100</f>
        <v>39.345495239448624</v>
      </c>
      <c r="M989" s="4" t="str" cm="1">
        <f t="array" ref="M989">_xlfn.IFS(Table1[[#This Row],[Sales_Amount]]&gt;200000,"High",AND(Table1[[#This Row],[Sales_Amount]]&gt;100000,Table1[[#This Row],[Sales_Amount]]&lt;200000),"Medium",Table1[[#This Row],[Sales_Amount]]&lt;100000,"Low")</f>
        <v>High</v>
      </c>
      <c r="N989" t="str">
        <f>TEXT(Table1[[#This Row],[Order_Date]],"MMMM")</f>
        <v>February</v>
      </c>
      <c r="O989">
        <f>YEAR(Table1[[#This Row],[Order_Date]])</f>
        <v>2028</v>
      </c>
    </row>
    <row r="990" spans="1:15" x14ac:dyDescent="0.3">
      <c r="A990" t="s">
        <v>1021</v>
      </c>
      <c r="B990" s="1">
        <v>46809</v>
      </c>
      <c r="C990" t="s">
        <v>12</v>
      </c>
      <c r="D990" t="s">
        <v>44</v>
      </c>
      <c r="E990" t="s">
        <v>37</v>
      </c>
      <c r="F990" s="3">
        <v>1</v>
      </c>
      <c r="G990" s="4">
        <v>29959</v>
      </c>
      <c r="H990" s="4">
        <v>29959</v>
      </c>
      <c r="I990" s="4">
        <v>23235.24</v>
      </c>
      <c r="J990" s="4">
        <v>6723.76</v>
      </c>
      <c r="K990" t="s">
        <v>58</v>
      </c>
      <c r="L990" s="3">
        <f>(Table1[[#This Row],[Profit]]/Table1[[#This Row],[Sales_Amount]])*100</f>
        <v>22.443205714476452</v>
      </c>
      <c r="M990" s="4" t="str" cm="1">
        <f t="array" ref="M990">_xlfn.IFS(Table1[[#This Row],[Sales_Amount]]&gt;200000,"High",AND(Table1[[#This Row],[Sales_Amount]]&gt;100000,Table1[[#This Row],[Sales_Amount]]&lt;200000),"Medium",Table1[[#This Row],[Sales_Amount]]&lt;100000,"Low")</f>
        <v>Low</v>
      </c>
      <c r="N990" t="str">
        <f>TEXT(Table1[[#This Row],[Order_Date]],"MMMM")</f>
        <v>February</v>
      </c>
      <c r="O990">
        <f>YEAR(Table1[[#This Row],[Order_Date]])</f>
        <v>2028</v>
      </c>
    </row>
    <row r="991" spans="1:15" x14ac:dyDescent="0.3">
      <c r="A991" t="s">
        <v>1022</v>
      </c>
      <c r="B991" s="1">
        <v>46810</v>
      </c>
      <c r="C991" t="s">
        <v>28</v>
      </c>
      <c r="D991" t="s">
        <v>21</v>
      </c>
      <c r="E991" t="s">
        <v>32</v>
      </c>
      <c r="F991" s="3">
        <v>1</v>
      </c>
      <c r="G991" s="4">
        <v>7228</v>
      </c>
      <c r="H991" s="4">
        <v>7228</v>
      </c>
      <c r="I991" s="4">
        <v>5703.78</v>
      </c>
      <c r="J991" s="4">
        <v>1524.22</v>
      </c>
      <c r="K991" t="s">
        <v>58</v>
      </c>
      <c r="L991" s="3">
        <f>(Table1[[#This Row],[Profit]]/Table1[[#This Row],[Sales_Amount]])*100</f>
        <v>21.087714443829555</v>
      </c>
      <c r="M991" s="4" t="str" cm="1">
        <f t="array" ref="M991">_xlfn.IFS(Table1[[#This Row],[Sales_Amount]]&gt;200000,"High",AND(Table1[[#This Row],[Sales_Amount]]&gt;100000,Table1[[#This Row],[Sales_Amount]]&lt;200000),"Medium",Table1[[#This Row],[Sales_Amount]]&lt;100000,"Low")</f>
        <v>Low</v>
      </c>
      <c r="N991" t="str">
        <f>TEXT(Table1[[#This Row],[Order_Date]],"MMMM")</f>
        <v>February</v>
      </c>
      <c r="O991">
        <f>YEAR(Table1[[#This Row],[Order_Date]])</f>
        <v>2028</v>
      </c>
    </row>
    <row r="992" spans="1:15" x14ac:dyDescent="0.3">
      <c r="A992" t="s">
        <v>1023</v>
      </c>
      <c r="B992" s="1">
        <v>46811</v>
      </c>
      <c r="C992" t="s">
        <v>28</v>
      </c>
      <c r="D992" t="s">
        <v>56</v>
      </c>
      <c r="E992" t="s">
        <v>25</v>
      </c>
      <c r="F992" s="3">
        <v>9</v>
      </c>
      <c r="G992" s="4">
        <v>19556</v>
      </c>
      <c r="H992" s="4">
        <v>176004</v>
      </c>
      <c r="I992" s="4">
        <v>107556.95</v>
      </c>
      <c r="J992" s="4">
        <v>68447.05</v>
      </c>
      <c r="K992" t="s">
        <v>58</v>
      </c>
      <c r="L992" s="3">
        <f>(Table1[[#This Row],[Profit]]/Table1[[#This Row],[Sales_Amount]])*100</f>
        <v>38.889485466239407</v>
      </c>
      <c r="M992" s="4" t="str" cm="1">
        <f t="array" ref="M992">_xlfn.IFS(Table1[[#This Row],[Sales_Amount]]&gt;200000,"High",AND(Table1[[#This Row],[Sales_Amount]]&gt;100000,Table1[[#This Row],[Sales_Amount]]&lt;200000),"Medium",Table1[[#This Row],[Sales_Amount]]&lt;100000,"Low")</f>
        <v>Medium</v>
      </c>
      <c r="N992" t="str">
        <f>TEXT(Table1[[#This Row],[Order_Date]],"MMMM")</f>
        <v>February</v>
      </c>
      <c r="O992">
        <f>YEAR(Table1[[#This Row],[Order_Date]])</f>
        <v>2028</v>
      </c>
    </row>
    <row r="993" spans="1:15" x14ac:dyDescent="0.3">
      <c r="A993" t="s">
        <v>1024</v>
      </c>
      <c r="B993" s="1">
        <v>46812</v>
      </c>
      <c r="C993" t="s">
        <v>40</v>
      </c>
      <c r="D993" t="s">
        <v>29</v>
      </c>
      <c r="E993" t="s">
        <v>19</v>
      </c>
      <c r="F993" s="3">
        <v>1</v>
      </c>
      <c r="G993" s="4">
        <v>35123</v>
      </c>
      <c r="H993" s="4">
        <v>35123</v>
      </c>
      <c r="I993" s="4">
        <v>21274.21</v>
      </c>
      <c r="J993" s="4">
        <v>13848.79</v>
      </c>
      <c r="K993" t="s">
        <v>26</v>
      </c>
      <c r="L993" s="3">
        <f>(Table1[[#This Row],[Profit]]/Table1[[#This Row],[Sales_Amount]])*100</f>
        <v>39.429405233038182</v>
      </c>
      <c r="M993" s="4" t="str" cm="1">
        <f t="array" ref="M993">_xlfn.IFS(Table1[[#This Row],[Sales_Amount]]&gt;200000,"High",AND(Table1[[#This Row],[Sales_Amount]]&gt;100000,Table1[[#This Row],[Sales_Amount]]&lt;200000),"Medium",Table1[[#This Row],[Sales_Amount]]&lt;100000,"Low")</f>
        <v>Low</v>
      </c>
      <c r="N993" t="str">
        <f>TEXT(Table1[[#This Row],[Order_Date]],"MMMM")</f>
        <v>February</v>
      </c>
      <c r="O993">
        <f>YEAR(Table1[[#This Row],[Order_Date]])</f>
        <v>2028</v>
      </c>
    </row>
    <row r="994" spans="1:15" x14ac:dyDescent="0.3">
      <c r="A994" t="s">
        <v>1025</v>
      </c>
      <c r="B994" s="1">
        <v>46813</v>
      </c>
      <c r="C994" t="s">
        <v>40</v>
      </c>
      <c r="D994" t="s">
        <v>56</v>
      </c>
      <c r="E994" t="s">
        <v>37</v>
      </c>
      <c r="F994" s="3">
        <v>8</v>
      </c>
      <c r="G994" s="4">
        <v>8163</v>
      </c>
      <c r="H994" s="4">
        <v>65304</v>
      </c>
      <c r="I994" s="4">
        <v>48875.91</v>
      </c>
      <c r="J994" s="4">
        <v>16428.09</v>
      </c>
      <c r="K994" t="s">
        <v>58</v>
      </c>
      <c r="L994" s="3">
        <f>(Table1[[#This Row],[Profit]]/Table1[[#This Row],[Sales_Amount]])*100</f>
        <v>25.156330393237781</v>
      </c>
      <c r="M994" s="4" t="str" cm="1">
        <f t="array" ref="M994">_xlfn.IFS(Table1[[#This Row],[Sales_Amount]]&gt;200000,"High",AND(Table1[[#This Row],[Sales_Amount]]&gt;100000,Table1[[#This Row],[Sales_Amount]]&lt;200000),"Medium",Table1[[#This Row],[Sales_Amount]]&lt;100000,"Low")</f>
        <v>Low</v>
      </c>
      <c r="N994" t="str">
        <f>TEXT(Table1[[#This Row],[Order_Date]],"MMMM")</f>
        <v>March</v>
      </c>
      <c r="O994">
        <f>YEAR(Table1[[#This Row],[Order_Date]])</f>
        <v>2028</v>
      </c>
    </row>
    <row r="995" spans="1:15" x14ac:dyDescent="0.3">
      <c r="A995" t="s">
        <v>1026</v>
      </c>
      <c r="B995" s="1">
        <v>46814</v>
      </c>
      <c r="C995" t="s">
        <v>40</v>
      </c>
      <c r="D995" t="s">
        <v>56</v>
      </c>
      <c r="E995" t="s">
        <v>22</v>
      </c>
      <c r="F995" s="3">
        <v>5</v>
      </c>
      <c r="G995" s="4">
        <v>48092</v>
      </c>
      <c r="H995" s="4">
        <v>240460</v>
      </c>
      <c r="I995" s="4">
        <v>158141.01999999999</v>
      </c>
      <c r="J995" s="4">
        <v>82318.98</v>
      </c>
      <c r="K995" t="s">
        <v>23</v>
      </c>
      <c r="L995" s="3">
        <f>(Table1[[#This Row],[Profit]]/Table1[[#This Row],[Sales_Amount]])*100</f>
        <v>34.233959910172167</v>
      </c>
      <c r="M995" s="4" t="str" cm="1">
        <f t="array" ref="M995">_xlfn.IFS(Table1[[#This Row],[Sales_Amount]]&gt;200000,"High",AND(Table1[[#This Row],[Sales_Amount]]&gt;100000,Table1[[#This Row],[Sales_Amount]]&lt;200000),"Medium",Table1[[#This Row],[Sales_Amount]]&lt;100000,"Low")</f>
        <v>High</v>
      </c>
      <c r="N995" t="str">
        <f>TEXT(Table1[[#This Row],[Order_Date]],"MMMM")</f>
        <v>March</v>
      </c>
      <c r="O995">
        <f>YEAR(Table1[[#This Row],[Order_Date]])</f>
        <v>2028</v>
      </c>
    </row>
    <row r="996" spans="1:15" x14ac:dyDescent="0.3">
      <c r="A996" t="s">
        <v>1027</v>
      </c>
      <c r="B996" s="1">
        <v>46815</v>
      </c>
      <c r="C996" t="s">
        <v>28</v>
      </c>
      <c r="D996" t="s">
        <v>13</v>
      </c>
      <c r="E996" t="s">
        <v>22</v>
      </c>
      <c r="F996" s="3">
        <v>10</v>
      </c>
      <c r="G996" s="4">
        <v>45390</v>
      </c>
      <c r="H996" s="4">
        <v>453900</v>
      </c>
      <c r="I996" s="4">
        <v>318522.46000000002</v>
      </c>
      <c r="J996" s="4">
        <v>135377.54</v>
      </c>
      <c r="K996" t="s">
        <v>26</v>
      </c>
      <c r="L996" s="3">
        <f>(Table1[[#This Row],[Profit]]/Table1[[#This Row],[Sales_Amount]])*100</f>
        <v>29.825410883454506</v>
      </c>
      <c r="M996" s="4" t="str" cm="1">
        <f t="array" ref="M996">_xlfn.IFS(Table1[[#This Row],[Sales_Amount]]&gt;200000,"High",AND(Table1[[#This Row],[Sales_Amount]]&gt;100000,Table1[[#This Row],[Sales_Amount]]&lt;200000),"Medium",Table1[[#This Row],[Sales_Amount]]&lt;100000,"Low")</f>
        <v>High</v>
      </c>
      <c r="N996" t="str">
        <f>TEXT(Table1[[#This Row],[Order_Date]],"MMMM")</f>
        <v>March</v>
      </c>
      <c r="O996">
        <f>YEAR(Table1[[#This Row],[Order_Date]])</f>
        <v>2028</v>
      </c>
    </row>
    <row r="997" spans="1:15" x14ac:dyDescent="0.3">
      <c r="A997" t="s">
        <v>1028</v>
      </c>
      <c r="B997" s="1">
        <v>46816</v>
      </c>
      <c r="C997" t="s">
        <v>12</v>
      </c>
      <c r="D997" t="s">
        <v>51</v>
      </c>
      <c r="E997" t="s">
        <v>37</v>
      </c>
      <c r="F997" s="3">
        <v>6</v>
      </c>
      <c r="G997" s="4">
        <v>31454</v>
      </c>
      <c r="H997" s="4">
        <v>188724</v>
      </c>
      <c r="I997" s="4">
        <v>158514.29</v>
      </c>
      <c r="J997" s="4">
        <v>30209.71</v>
      </c>
      <c r="K997" t="s">
        <v>26</v>
      </c>
      <c r="L997" s="3">
        <f>(Table1[[#This Row],[Profit]]/Table1[[#This Row],[Sales_Amount]])*100</f>
        <v>16.007349356732583</v>
      </c>
      <c r="M997" s="4" t="str" cm="1">
        <f t="array" ref="M997">_xlfn.IFS(Table1[[#This Row],[Sales_Amount]]&gt;200000,"High",AND(Table1[[#This Row],[Sales_Amount]]&gt;100000,Table1[[#This Row],[Sales_Amount]]&lt;200000),"Medium",Table1[[#This Row],[Sales_Amount]]&lt;100000,"Low")</f>
        <v>Medium</v>
      </c>
      <c r="N997" t="str">
        <f>TEXT(Table1[[#This Row],[Order_Date]],"MMMM")</f>
        <v>March</v>
      </c>
      <c r="O997">
        <f>YEAR(Table1[[#This Row],[Order_Date]])</f>
        <v>2028</v>
      </c>
    </row>
    <row r="998" spans="1:15" x14ac:dyDescent="0.3">
      <c r="A998" t="s">
        <v>1029</v>
      </c>
      <c r="B998" s="1">
        <v>46817</v>
      </c>
      <c r="C998" t="s">
        <v>12</v>
      </c>
      <c r="D998" t="s">
        <v>51</v>
      </c>
      <c r="E998" t="s">
        <v>19</v>
      </c>
      <c r="F998" s="3">
        <v>2</v>
      </c>
      <c r="G998" s="4">
        <v>44216</v>
      </c>
      <c r="H998" s="4">
        <v>88432</v>
      </c>
      <c r="I998" s="4">
        <v>65870.070000000007</v>
      </c>
      <c r="J998" s="4">
        <v>22561.93</v>
      </c>
      <c r="K998" t="s">
        <v>23</v>
      </c>
      <c r="L998" s="3">
        <f>(Table1[[#This Row],[Profit]]/Table1[[#This Row],[Sales_Amount]])*100</f>
        <v>25.513309661660937</v>
      </c>
      <c r="M998" s="4" t="str" cm="1">
        <f t="array" ref="M998">_xlfn.IFS(Table1[[#This Row],[Sales_Amount]]&gt;200000,"High",AND(Table1[[#This Row],[Sales_Amount]]&gt;100000,Table1[[#This Row],[Sales_Amount]]&lt;200000),"Medium",Table1[[#This Row],[Sales_Amount]]&lt;100000,"Low")</f>
        <v>Low</v>
      </c>
      <c r="N998" t="str">
        <f>TEXT(Table1[[#This Row],[Order_Date]],"MMMM")</f>
        <v>March</v>
      </c>
      <c r="O998">
        <f>YEAR(Table1[[#This Row],[Order_Date]])</f>
        <v>2028</v>
      </c>
    </row>
    <row r="999" spans="1:15" x14ac:dyDescent="0.3">
      <c r="A999" t="s">
        <v>1030</v>
      </c>
      <c r="B999" s="1">
        <v>46818</v>
      </c>
      <c r="C999" t="s">
        <v>28</v>
      </c>
      <c r="D999" t="s">
        <v>44</v>
      </c>
      <c r="E999" t="s">
        <v>37</v>
      </c>
      <c r="F999" s="3">
        <v>2</v>
      </c>
      <c r="G999" s="4">
        <v>27761</v>
      </c>
      <c r="H999" s="4">
        <v>55522</v>
      </c>
      <c r="I999" s="4">
        <v>49021.279999999999</v>
      </c>
      <c r="J999" s="4">
        <v>6500.72</v>
      </c>
      <c r="K999" t="s">
        <v>23</v>
      </c>
      <c r="L999" s="3">
        <f>(Table1[[#This Row],[Profit]]/Table1[[#This Row],[Sales_Amount]])*100</f>
        <v>11.708367854183928</v>
      </c>
      <c r="M999" s="4" t="str" cm="1">
        <f t="array" ref="M999">_xlfn.IFS(Table1[[#This Row],[Sales_Amount]]&gt;200000,"High",AND(Table1[[#This Row],[Sales_Amount]]&gt;100000,Table1[[#This Row],[Sales_Amount]]&lt;200000),"Medium",Table1[[#This Row],[Sales_Amount]]&lt;100000,"Low")</f>
        <v>Low</v>
      </c>
      <c r="N999" t="str">
        <f>TEXT(Table1[[#This Row],[Order_Date]],"MMMM")</f>
        <v>March</v>
      </c>
      <c r="O999">
        <f>YEAR(Table1[[#This Row],[Order_Date]])</f>
        <v>2028</v>
      </c>
    </row>
    <row r="1000" spans="1:15" x14ac:dyDescent="0.3">
      <c r="A1000" t="s">
        <v>1031</v>
      </c>
      <c r="B1000" s="1">
        <v>46819</v>
      </c>
      <c r="C1000" t="s">
        <v>40</v>
      </c>
      <c r="D1000" t="s">
        <v>34</v>
      </c>
      <c r="E1000" t="s">
        <v>25</v>
      </c>
      <c r="F1000" s="3">
        <v>1</v>
      </c>
      <c r="G1000" s="4">
        <v>1688</v>
      </c>
      <c r="H1000" s="4">
        <v>1688</v>
      </c>
      <c r="I1000" s="4">
        <v>1194.49</v>
      </c>
      <c r="J1000" s="4">
        <v>493.51</v>
      </c>
      <c r="K1000" t="s">
        <v>23</v>
      </c>
      <c r="L1000" s="3">
        <f>(Table1[[#This Row],[Profit]]/Table1[[#This Row],[Sales_Amount]])*100</f>
        <v>29.236374407582939</v>
      </c>
      <c r="M1000" s="4" t="str" cm="1">
        <f t="array" ref="M1000">_xlfn.IFS(Table1[[#This Row],[Sales_Amount]]&gt;200000,"High",AND(Table1[[#This Row],[Sales_Amount]]&gt;100000,Table1[[#This Row],[Sales_Amount]]&lt;200000),"Medium",Table1[[#This Row],[Sales_Amount]]&lt;100000,"Low")</f>
        <v>Low</v>
      </c>
      <c r="N1000" t="str">
        <f>TEXT(Table1[[#This Row],[Order_Date]],"MMMM")</f>
        <v>March</v>
      </c>
      <c r="O1000">
        <f>YEAR(Table1[[#This Row],[Order_Date]])</f>
        <v>2028</v>
      </c>
    </row>
    <row r="1001" spans="1:15" x14ac:dyDescent="0.3">
      <c r="A1001" t="s">
        <v>1032</v>
      </c>
      <c r="B1001" s="1">
        <v>46820</v>
      </c>
      <c r="C1001" t="s">
        <v>17</v>
      </c>
      <c r="D1001" t="s">
        <v>51</v>
      </c>
      <c r="E1001" t="s">
        <v>25</v>
      </c>
      <c r="F1001" s="3">
        <v>1</v>
      </c>
      <c r="G1001" s="4">
        <v>4672</v>
      </c>
      <c r="H1001" s="4">
        <v>4672</v>
      </c>
      <c r="I1001" s="4">
        <v>3276.57</v>
      </c>
      <c r="J1001" s="4">
        <v>1395.43</v>
      </c>
      <c r="K1001" t="s">
        <v>15</v>
      </c>
      <c r="L1001" s="3">
        <f>(Table1[[#This Row],[Profit]]/Table1[[#This Row],[Sales_Amount]])*100</f>
        <v>29.86793664383562</v>
      </c>
      <c r="M1001" s="4" t="str" cm="1">
        <f t="array" ref="M1001">_xlfn.IFS(Table1[[#This Row],[Sales_Amount]]&gt;200000,"High",AND(Table1[[#This Row],[Sales_Amount]]&gt;100000,Table1[[#This Row],[Sales_Amount]]&lt;200000),"Medium",Table1[[#This Row],[Sales_Amount]]&lt;100000,"Low")</f>
        <v>Low</v>
      </c>
      <c r="N1001" t="str">
        <f>TEXT(Table1[[#This Row],[Order_Date]],"MMMM")</f>
        <v>March</v>
      </c>
      <c r="O1001">
        <f>YEAR(Table1[[#This Row],[Order_Date]])</f>
        <v>2028</v>
      </c>
    </row>
    <row r="1002" spans="1:15" x14ac:dyDescent="0.3">
      <c r="B1002" s="1"/>
      <c r="H1002" s="4">
        <f>SUM(Table1[Sales_Amount])</f>
        <v>138460468</v>
      </c>
      <c r="M1002" s="4"/>
    </row>
  </sheetData>
  <conditionalFormatting sqref="A1:A1048576">
    <cfRule type="duplicateValues" dxfId="0" priority="1"/>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406C8-4E9E-4ECF-A55E-C7793D3F8624}">
  <dimension ref="A3:N16"/>
  <sheetViews>
    <sheetView topLeftCell="C1" workbookViewId="0">
      <selection activeCell="M3" sqref="M3"/>
    </sheetView>
  </sheetViews>
  <sheetFormatPr defaultColWidth="8.88671875" defaultRowHeight="14.4" x14ac:dyDescent="0.3"/>
  <cols>
    <col min="1" max="1" width="18.109375" style="15" bestFit="1" customWidth="1"/>
    <col min="2" max="2" width="19.77734375" style="15" bestFit="1" customWidth="1"/>
    <col min="3" max="3" width="9.5546875" style="15" bestFit="1" customWidth="1"/>
    <col min="4" max="4" width="19.5546875" style="15" bestFit="1" customWidth="1"/>
    <col min="5" max="5" width="14.77734375" style="15" bestFit="1" customWidth="1"/>
    <col min="6" max="6" width="7.88671875" style="15" bestFit="1" customWidth="1"/>
    <col min="7" max="7" width="12.5546875" style="15" bestFit="1" customWidth="1"/>
    <col min="8" max="8" width="19.77734375" style="15" bestFit="1" customWidth="1"/>
    <col min="9" max="9" width="7.88671875" style="15" bestFit="1" customWidth="1"/>
    <col min="10" max="10" width="20.6640625" style="15" bestFit="1" customWidth="1"/>
    <col min="11" max="11" width="19.77734375" style="15" bestFit="1" customWidth="1"/>
    <col min="12" max="12" width="7.88671875" style="15" bestFit="1" customWidth="1"/>
    <col min="13" max="13" width="12.5546875" style="15" bestFit="1" customWidth="1"/>
    <col min="14" max="14" width="19.77734375" style="15" bestFit="1" customWidth="1"/>
    <col min="15" max="21" width="7.88671875" style="15" bestFit="1" customWidth="1"/>
    <col min="22" max="257" width="9.5546875" style="15" bestFit="1" customWidth="1"/>
    <col min="258" max="941" width="10.44140625" style="15" bestFit="1" customWidth="1"/>
    <col min="942" max="1004" width="12.109375" style="15" bestFit="1" customWidth="1"/>
    <col min="1005" max="1005" width="10.77734375" style="15" bestFit="1" customWidth="1"/>
    <col min="1006" max="16384" width="8.88671875" style="15"/>
  </cols>
  <sheetData>
    <row r="3" spans="1:14" x14ac:dyDescent="0.3">
      <c r="A3" s="5" t="s">
        <v>1052</v>
      </c>
      <c r="B3" s="5" t="s">
        <v>1040</v>
      </c>
      <c r="D3" s="17" t="s">
        <v>1055</v>
      </c>
      <c r="E3" s="17" t="s">
        <v>1041</v>
      </c>
      <c r="G3" s="16" t="s">
        <v>1053</v>
      </c>
      <c r="H3" s="16" t="s">
        <v>1040</v>
      </c>
      <c r="J3" s="10" t="s">
        <v>1054</v>
      </c>
      <c r="K3" s="10" t="s">
        <v>1040</v>
      </c>
      <c r="M3" s="28" t="s">
        <v>1057</v>
      </c>
      <c r="N3" s="28" t="s">
        <v>1040</v>
      </c>
    </row>
    <row r="4" spans="1:14" x14ac:dyDescent="0.3">
      <c r="A4" s="8" t="s">
        <v>40</v>
      </c>
      <c r="B4" s="9">
        <v>32464283</v>
      </c>
      <c r="D4" s="20" t="s">
        <v>19</v>
      </c>
      <c r="E4" s="21">
        <v>5819299.209999999</v>
      </c>
      <c r="G4" s="24" t="s">
        <v>18</v>
      </c>
      <c r="H4" s="25">
        <v>20162847</v>
      </c>
      <c r="J4" s="13" t="s">
        <v>1042</v>
      </c>
      <c r="K4" s="14">
        <v>12661035</v>
      </c>
      <c r="M4" s="31" t="s">
        <v>23</v>
      </c>
      <c r="N4" s="32">
        <v>31621689</v>
      </c>
    </row>
    <row r="5" spans="1:14" x14ac:dyDescent="0.3">
      <c r="A5" s="8" t="s">
        <v>17</v>
      </c>
      <c r="B5" s="9">
        <v>31705369</v>
      </c>
      <c r="D5" s="20" t="s">
        <v>32</v>
      </c>
      <c r="E5" s="21">
        <v>7836391.599999994</v>
      </c>
      <c r="G5" s="24" t="s">
        <v>56</v>
      </c>
      <c r="H5" s="25">
        <v>19244105</v>
      </c>
      <c r="J5" s="13" t="s">
        <v>1043</v>
      </c>
      <c r="K5" s="14">
        <v>12872119</v>
      </c>
      <c r="M5" s="31" t="s">
        <v>26</v>
      </c>
      <c r="N5" s="32">
        <v>35742487</v>
      </c>
    </row>
    <row r="6" spans="1:14" x14ac:dyDescent="0.3">
      <c r="A6" s="8" t="s">
        <v>12</v>
      </c>
      <c r="B6" s="9">
        <v>38586425</v>
      </c>
      <c r="D6" s="20" t="s">
        <v>14</v>
      </c>
      <c r="E6" s="21">
        <v>5076513.3099999996</v>
      </c>
      <c r="G6" s="24" t="s">
        <v>44</v>
      </c>
      <c r="H6" s="25">
        <v>15307762</v>
      </c>
      <c r="J6" s="13" t="s">
        <v>1044</v>
      </c>
      <c r="K6" s="14">
        <v>10098186</v>
      </c>
      <c r="M6" s="31" t="s">
        <v>58</v>
      </c>
      <c r="N6" s="32">
        <v>39290169</v>
      </c>
    </row>
    <row r="7" spans="1:14" x14ac:dyDescent="0.3">
      <c r="A7" s="8" t="s">
        <v>28</v>
      </c>
      <c r="B7" s="9">
        <v>35704391</v>
      </c>
      <c r="D7" s="20" t="s">
        <v>37</v>
      </c>
      <c r="E7" s="21">
        <v>5777712.3299999991</v>
      </c>
      <c r="G7" s="24" t="s">
        <v>34</v>
      </c>
      <c r="H7" s="25">
        <v>15618666</v>
      </c>
      <c r="J7" s="13" t="s">
        <v>1045</v>
      </c>
      <c r="K7" s="14">
        <v>8843346</v>
      </c>
      <c r="M7" s="31" t="s">
        <v>15</v>
      </c>
      <c r="N7" s="32">
        <v>31806123</v>
      </c>
    </row>
    <row r="8" spans="1:14" x14ac:dyDescent="0.3">
      <c r="A8" s="6" t="s">
        <v>1039</v>
      </c>
      <c r="B8" s="7">
        <v>138460468</v>
      </c>
      <c r="D8" s="20" t="s">
        <v>22</v>
      </c>
      <c r="E8" s="21">
        <v>5123946.0299999965</v>
      </c>
      <c r="G8" s="24" t="s">
        <v>51</v>
      </c>
      <c r="H8" s="25">
        <v>15459190</v>
      </c>
      <c r="J8" s="13" t="s">
        <v>1046</v>
      </c>
      <c r="K8" s="14">
        <v>7576023</v>
      </c>
      <c r="M8" s="29" t="s">
        <v>1039</v>
      </c>
      <c r="N8" s="30">
        <v>138460468</v>
      </c>
    </row>
    <row r="9" spans="1:14" x14ac:dyDescent="0.3">
      <c r="D9" s="20" t="s">
        <v>25</v>
      </c>
      <c r="E9" s="21">
        <v>5027946.6999999993</v>
      </c>
      <c r="G9" s="24" t="s">
        <v>29</v>
      </c>
      <c r="H9" s="25">
        <v>15749066</v>
      </c>
      <c r="J9" s="13" t="s">
        <v>1036</v>
      </c>
      <c r="K9" s="14">
        <v>10881997</v>
      </c>
    </row>
    <row r="10" spans="1:14" x14ac:dyDescent="0.3">
      <c r="D10" s="18" t="s">
        <v>1039</v>
      </c>
      <c r="E10" s="19">
        <v>34661809.179999992</v>
      </c>
      <c r="G10" s="24" t="s">
        <v>13</v>
      </c>
      <c r="H10" s="25">
        <v>19148777</v>
      </c>
      <c r="J10" s="13" t="s">
        <v>1037</v>
      </c>
      <c r="K10" s="14">
        <v>11005366</v>
      </c>
    </row>
    <row r="11" spans="1:14" x14ac:dyDescent="0.3">
      <c r="G11" s="24" t="s">
        <v>21</v>
      </c>
      <c r="H11" s="25">
        <v>17770055</v>
      </c>
      <c r="J11" s="13" t="s">
        <v>1047</v>
      </c>
      <c r="K11" s="14">
        <v>12192419</v>
      </c>
    </row>
    <row r="12" spans="1:14" x14ac:dyDescent="0.3">
      <c r="G12" s="22" t="s">
        <v>1039</v>
      </c>
      <c r="H12" s="23">
        <v>138460468</v>
      </c>
      <c r="J12" s="13" t="s">
        <v>1048</v>
      </c>
      <c r="K12" s="14">
        <v>13500904</v>
      </c>
    </row>
    <row r="13" spans="1:14" x14ac:dyDescent="0.3">
      <c r="J13" s="13" t="s">
        <v>1049</v>
      </c>
      <c r="K13" s="14">
        <v>13088953</v>
      </c>
    </row>
    <row r="14" spans="1:14" x14ac:dyDescent="0.3">
      <c r="J14" s="13" t="s">
        <v>1050</v>
      </c>
      <c r="K14" s="14">
        <v>13154102</v>
      </c>
    </row>
    <row r="15" spans="1:14" x14ac:dyDescent="0.3">
      <c r="J15" s="13" t="s">
        <v>1051</v>
      </c>
      <c r="K15" s="14">
        <v>12586018</v>
      </c>
    </row>
    <row r="16" spans="1:14" x14ac:dyDescent="0.3">
      <c r="J16" s="11" t="s">
        <v>1039</v>
      </c>
      <c r="K16" s="12">
        <v>138460468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78C49-2015-4F98-93E4-AA4B1001BE08}">
  <dimension ref="A1:W9"/>
  <sheetViews>
    <sheetView tabSelected="1" zoomScale="89" zoomScaleNormal="89" workbookViewId="0">
      <selection activeCell="X15" sqref="X15"/>
    </sheetView>
  </sheetViews>
  <sheetFormatPr defaultColWidth="8.88671875" defaultRowHeight="14.4" x14ac:dyDescent="0.3"/>
  <cols>
    <col min="1" max="16384" width="8.88671875" style="26"/>
  </cols>
  <sheetData>
    <row r="1" spans="1:23" s="33" customFormat="1" ht="19.2" customHeight="1" x14ac:dyDescent="0.3">
      <c r="A1" s="33" t="s">
        <v>1056</v>
      </c>
    </row>
    <row r="2" spans="1:23" s="33" customFormat="1" ht="14.4" customHeight="1" x14ac:dyDescent="0.3"/>
    <row r="3" spans="1:23" s="33" customFormat="1" ht="14.4" customHeight="1" x14ac:dyDescent="0.3"/>
    <row r="9" spans="1:23" x14ac:dyDescent="0.3">
      <c r="W9" s="27"/>
    </row>
  </sheetData>
  <mergeCells count="1">
    <mergeCell ref="A1:XFD3"/>
  </mergeCells>
  <pageMargins left="0.7" right="0.7" top="0.75" bottom="0.75" header="0.3" footer="0.3"/>
  <pageSetup scale="0" firstPageNumber="0" fitToWidth="0" fitToHeight="0" orientation="landscape" horizontalDpi="0" verticalDpi="0" copies="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 Nampalliwar</cp:lastModifiedBy>
  <dcterms:created xsi:type="dcterms:W3CDTF">2026-05-28T12:41:33Z</dcterms:created>
  <dcterms:modified xsi:type="dcterms:W3CDTF">2026-06-06T07:48:23Z</dcterms:modified>
</cp:coreProperties>
</file>